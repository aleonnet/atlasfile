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BN2/Sistemas/"/>
    </mc:Choice>
  </mc:AlternateContent>
  <xr:revisionPtr revIDLastSave="0" documentId="8_{40BF336D-79F8-2B48-8B73-5167A61F0886}" xr6:coauthVersionLast="47" xr6:coauthVersionMax="47" xr10:uidLastSave="{00000000-0000-0000-0000-000000000000}"/>
  <bookViews>
    <workbookView xWindow="0" yWindow="500" windowWidth="51200" windowHeight="26600" activeTab="2" xr2:uid="{00000000-000D-0000-FFFF-FFFF00000000}"/>
  </bookViews>
  <sheets>
    <sheet name="Sheet1" sheetId="3" r:id="rId1"/>
    <sheet name="Sheet2" sheetId="4" r:id="rId2"/>
    <sheet name="Pivot" sheetId="2" r:id="rId3"/>
    <sheet name="Ações mapeadas" sheetId="1" r:id="rId4"/>
  </sheets>
  <definedNames>
    <definedName name="_xlnm._FilterDatabase" localSheetId="3" hidden="1">'Ações mapeadas'!$A$1:$I$116</definedName>
  </definedNames>
  <calcPr calcId="191029"/>
  <pivotCaches>
    <pivotCache cacheId="3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2" i="1"/>
</calcChain>
</file>

<file path=xl/sharedStrings.xml><?xml version="1.0" encoding="utf-8"?>
<sst xmlns="http://schemas.openxmlformats.org/spreadsheetml/2006/main" count="1081" uniqueCount="327">
  <si>
    <t>Fase</t>
  </si>
  <si>
    <t>MVP</t>
  </si>
  <si>
    <t>SAP</t>
  </si>
  <si>
    <t>Posto Fiscal</t>
  </si>
  <si>
    <t>Ação Prioritária</t>
  </si>
  <si>
    <t>Avaliar ajustes na estratégia de Aprovações/PADA OI com a incorporação da Serede(avaliar de acordo com a estrutura organizacional)</t>
  </si>
  <si>
    <t>Prazo</t>
  </si>
  <si>
    <t>30/04</t>
  </si>
  <si>
    <t>01/04</t>
  </si>
  <si>
    <t>24/04</t>
  </si>
  <si>
    <t>07/04</t>
  </si>
  <si>
    <t>11/04</t>
  </si>
  <si>
    <t>15/04</t>
  </si>
  <si>
    <t>Resp</t>
  </si>
  <si>
    <t>RH</t>
  </si>
  <si>
    <t>Societário</t>
  </si>
  <si>
    <t>TI Oi</t>
  </si>
  <si>
    <t>M&amp;A</t>
  </si>
  <si>
    <t>Logistica</t>
  </si>
  <si>
    <t>Serede</t>
  </si>
  <si>
    <t>TI Serede</t>
  </si>
  <si>
    <t>Topologia de Rede</t>
  </si>
  <si>
    <t>ITSM</t>
  </si>
  <si>
    <t>GLPI/CMDB</t>
  </si>
  <si>
    <t>FSL</t>
  </si>
  <si>
    <t>CLICK</t>
  </si>
  <si>
    <t>GESTECH</t>
  </si>
  <si>
    <t>PIPEFY</t>
  </si>
  <si>
    <t>GMS</t>
  </si>
  <si>
    <t>PORTAL CLCO</t>
  </si>
  <si>
    <t>PORTAL CRM</t>
  </si>
  <si>
    <t>PORTAL DO</t>
  </si>
  <si>
    <t>TRAVEL</t>
  </si>
  <si>
    <t>FROTA</t>
  </si>
  <si>
    <t>NEXXERA</t>
  </si>
  <si>
    <t>COMPLY</t>
  </si>
  <si>
    <t>NEOGRID</t>
  </si>
  <si>
    <t>TAX ONE / ADD TAX</t>
  </si>
  <si>
    <t>MASTERSAF</t>
  </si>
  <si>
    <t>NETWIN</t>
  </si>
  <si>
    <t>CONTRACHEQUE</t>
  </si>
  <si>
    <t>CONTROLE DE JORNADA</t>
  </si>
  <si>
    <t>PORTAL DE GH</t>
  </si>
  <si>
    <t>REMUNERAÇÃO VARIÁVEL</t>
  </si>
  <si>
    <t>ATESTADO - THEO</t>
  </si>
  <si>
    <t>GUPY/ÚNICO</t>
  </si>
  <si>
    <t>INFORME DE RENDIMENTOS</t>
  </si>
  <si>
    <t>TUP/VONIX</t>
  </si>
  <si>
    <t>ATENDE CONECTA/ CANAL RM</t>
  </si>
  <si>
    <t>APP COLABORADOR DE CAMPO</t>
  </si>
  <si>
    <t>FILIAIS</t>
  </si>
  <si>
    <t>11 filiais já existem no SAP e não é necessário configuração</t>
  </si>
  <si>
    <t>28 filiais enviadas em configuração(US aberta para atualização de SP)</t>
  </si>
  <si>
    <t>01 Filial pendente com ATF</t>
  </si>
  <si>
    <t>12 Novas Filiais – pendente envio dos dados</t>
  </si>
  <si>
    <t>Estrutura Organizacional</t>
  </si>
  <si>
    <t>Organização de venda</t>
  </si>
  <si>
    <t>Local de Expedição (em avaliação)</t>
  </si>
  <si>
    <t>Canal e Setor de Atividades (em avaliação)</t>
  </si>
  <si>
    <t>Centro/Depósito</t>
  </si>
  <si>
    <t>Definir Contas Contábeis/Bancária (Plano de Contas)</t>
  </si>
  <si>
    <t>Pendente numero da conta e convênio(RH) – Atualizar US</t>
  </si>
  <si>
    <t>Conta Contábil</t>
  </si>
  <si>
    <t>Dados Mestres</t>
  </si>
  <si>
    <t>Criação de Serviços – SD e MM – aguardando definições</t>
  </si>
  <si>
    <t>Pendente preenchimento do layout após estudo de TI</t>
  </si>
  <si>
    <t>Formalizado que os serviços em branco na planilha não possuem LC116 </t>
  </si>
  <si>
    <t>Processo de Vendas e Faturamento</t>
  </si>
  <si>
    <t>Definir os centros para Faturamento nas Organizações de Venda</t>
  </si>
  <si>
    <t xml:space="preserve">Definir se o valor dos  contratos serão travados no momento do Faturamento  </t>
  </si>
  <si>
    <t>Avaliar se será mantida a abertura de Subcontratos </t>
  </si>
  <si>
    <t>Avaliar as diferenças entre as ordem de Venda(ZVIE e ZMIE) </t>
  </si>
  <si>
    <t>Quais ordens de vendas estão atreladas a quais tipos de contrato </t>
  </si>
  <si>
    <t>Informações Tributárias: Obter as alíquotas de ISS, PIS, Cofins, CSLL e IR aplicáveis aos serviços, pendente avaliar a escrita de US </t>
  </si>
  <si>
    <t>Pendente reunião para escrita das USs Pendentes</t>
  </si>
  <si>
    <t>Controle de Receita e contratos: Identificar a área responsável</t>
  </si>
  <si>
    <t>Suprimentos</t>
  </si>
  <si>
    <t>Projetos</t>
  </si>
  <si>
    <t>Encaminhadas USs para aprovação – Todas us´s foram aprovadas</t>
  </si>
  <si>
    <t>Travel</t>
  </si>
  <si>
    <t>3USs escritas para o SAP serão incluídas na Sprint a partir de 05/05</t>
  </si>
  <si>
    <t>Estória de estudo em andamento até 05/05 – entendimento da estrutura de tabelas e programas para avaliação da funcionalidade como um todo.</t>
  </si>
  <si>
    <t>MM/GMS</t>
  </si>
  <si>
    <t>US de estudo em andamento até 17/04</t>
  </si>
  <si>
    <t>Contas a Pagar</t>
  </si>
  <si>
    <t>Entender com RH sobre geração de boletos de plano de saúde direto no banco, reunião agendada para 11/04 </t>
  </si>
  <si>
    <t>Definir/ Formalizar se meios de pagamento e condições de pagamento permanecem as mesmas da Oi </t>
  </si>
  <si>
    <t>Contas a Receber</t>
  </si>
  <si>
    <t>Definir/ Formalizar se Meios de pagamento e condições de pagamento permanecem as mesmas da Oi </t>
  </si>
  <si>
    <t>Gestão de Garantias</t>
  </si>
  <si>
    <t>USs escritas aguardando Sprint para desenvolvimento</t>
  </si>
  <si>
    <t>Serede enviar movimentos contábeis SAP, que compõe saldos de depósitos judiciais </t>
  </si>
  <si>
    <t>Real State</t>
  </si>
  <si>
    <t>Definido que a Fábrica irá suportar o usuário na criação/carga e cadastro manual das informações. (15 contratos). Reunião agendada 09/4. Pendente confirmação se seguira o processo de carga manual</t>
  </si>
  <si>
    <t>Energia</t>
  </si>
  <si>
    <t>US de Testes escrita com bloqueio devido a falta de massa de testes</t>
  </si>
  <si>
    <t>Internalização de Notas Fiscais de Serviços (Manual/ Automático)</t>
  </si>
  <si>
    <t>Internalização de Notas Fiscais de Materiais (DIEN) - Tipo Prestação de serviços (Manual/ Automático)</t>
  </si>
  <si>
    <t>Internalização de Notas Fiscais de Materiais (Manual/ Automático)</t>
  </si>
  <si>
    <t>Internalização de Notas Fiscais Writer (Manual/ Automático)</t>
  </si>
  <si>
    <t>Internalização de Notas Fiscais Writer - Modelo 66 (Energia Elétrica)</t>
  </si>
  <si>
    <t>Internalização de Notas Fiscais de entrada/ Interface com o BrNotas (Posto Fiscal)</t>
  </si>
  <si>
    <t>Jurídico (SISJUR/SAP)</t>
  </si>
  <si>
    <t>Escrita US de Testes para avaliar o processo fim a fim</t>
  </si>
  <si>
    <t>Definir processo Recebimento Físico/ Fiscal para a SEREDE - formalizado que seguirá o processo da OI</t>
  </si>
  <si>
    <t>Definir processo de pedidos de Compras para a SEREDE – formalizado que seguirá o processo da OI</t>
  </si>
  <si>
    <t>Controladoria</t>
  </si>
  <si>
    <t>Mastersaf DF e DW</t>
  </si>
  <si>
    <t>Mastersaf DFE não será internalizado, será substituído p/ Mensageira Neogrid</t>
  </si>
  <si>
    <t>Mastersaf DW será desligado em Maio/25, não será internalizado</t>
  </si>
  <si>
    <t>Tax One / Add Tax</t>
  </si>
  <si>
    <t>Manter o TAX ONE apenas como histórico (Mastersaf DFE)</t>
  </si>
  <si>
    <t>Formalizado que o ADD TAX será desativado</t>
  </si>
  <si>
    <t>Mensageria NEOGRID</t>
  </si>
  <si>
    <t>Comply</t>
  </si>
  <si>
    <t>Pendente contratação da Sonda</t>
  </si>
  <si>
    <t xml:space="preserve">Seguiremos as mesmas parametrizações das novas filiais da BTSA? </t>
  </si>
  <si>
    <t xml:space="preserve">Pendente informar as parametrizações das novas filiais terá ICMS e ISS? </t>
  </si>
  <si>
    <t>Aguardando retorno do Bradesco sobre uma solução para que não seja necessária a manutenção do contrato da Nexxera</t>
  </si>
  <si>
    <t>Frota</t>
  </si>
  <si>
    <t>GED</t>
  </si>
  <si>
    <t>Portal DO</t>
  </si>
  <si>
    <t>Portal CRM</t>
  </si>
  <si>
    <t>Us´s de Internalização de NF devem ser avaliadas para complemento após fechar as Us´s de faturamento</t>
  </si>
  <si>
    <t>Será desligado até 30/04</t>
  </si>
  <si>
    <t xml:space="preserve">Portal CLCO </t>
  </si>
  <si>
    <t>Levantamento das interfaces que são utilizadas para integração entre GMS e SAP. Em avaliação pela CAP na Sprint corrente</t>
  </si>
  <si>
    <t>Pipefy</t>
  </si>
  <si>
    <t>Gestech</t>
  </si>
  <si>
    <t>Click</t>
  </si>
  <si>
    <t>Sistema será desligado até 30/04</t>
  </si>
  <si>
    <t>Hoje o time da Serede acessa o Gestech existente na infra estrutura da OI, como estamos migrando para a Vtal deverá ajustado o apontamento</t>
  </si>
  <si>
    <t>Pendente avaliar o acesso dos técnicos da Serede, dado que os mesmos serão OI</t>
  </si>
  <si>
    <t>Time Serede acessará diretamente o Sistema V.tal</t>
  </si>
  <si>
    <t>Atende chamados será mantido para utilização das demais áreas. Necessário identificar as áreas para os processos já mapeados.</t>
  </si>
  <si>
    <t>ITSM (Atende Chamados)</t>
  </si>
  <si>
    <t>Migração de Dados</t>
  </si>
  <si>
    <t>Dados dos colaboradores inativos serão migrados pós Go-live</t>
  </si>
  <si>
    <t>Validações ocorrerão após 16/04</t>
  </si>
  <si>
    <t>Ficha Financeira será entregue os 2 últimos anos para a validação, os demais anos serão entregues na sequencia.</t>
  </si>
  <si>
    <t>Sistema</t>
  </si>
  <si>
    <t>Processo</t>
  </si>
  <si>
    <t>Folha de Pagamento</t>
  </si>
  <si>
    <t>Configuração/Testes em andamento</t>
  </si>
  <si>
    <t>Benefícios</t>
  </si>
  <si>
    <t>Ponto</t>
  </si>
  <si>
    <t>Liberação do Executável 07/04 a 25/04 – em andamento</t>
  </si>
  <si>
    <t>Migração com dados de Homologação  - Concluída</t>
  </si>
  <si>
    <t>Cargos e Salários</t>
  </si>
  <si>
    <t>Medicina e Segurança - SOC</t>
  </si>
  <si>
    <t>Auto Atendimento (Portal de Gente)</t>
  </si>
  <si>
    <t>Parametrizações iniciadas até 10/04 e em andamento</t>
  </si>
  <si>
    <t>E-social</t>
  </si>
  <si>
    <t>Workflow</t>
  </si>
  <si>
    <t xml:space="preserve">Definido que os fluxos de férias, atualização de dados cadastrais e rescisão. </t>
  </si>
  <si>
    <t>Orçamento Pessoal</t>
  </si>
  <si>
    <t>Definido que utilizaremos o módulo de orçamento da OI, este tema será tratado em Junho.</t>
  </si>
  <si>
    <t>GH</t>
  </si>
  <si>
    <t>Parametrizações finalizadas em 08/04</t>
  </si>
  <si>
    <t>Validado o 5º nível de gestão com o Jurídico Trabalhista</t>
  </si>
  <si>
    <t>Entregue estrutura/Centro de Custos em 31/03</t>
  </si>
  <si>
    <t>Integração FPW x BD2</t>
  </si>
  <si>
    <t>Escrever US técnica</t>
  </si>
  <si>
    <t>Contracheque</t>
  </si>
  <si>
    <t>Não será internalizada. Pendente contratação do contracheque pela banco Bradesco e Itaú (4/4)</t>
  </si>
  <si>
    <t>Desativar aplicação dentro da Serede após 1/8 – Comunicar com antecedência</t>
  </si>
  <si>
    <t>Controle de Jornada</t>
  </si>
  <si>
    <t>Portal de GH (Não será internalizada na OI - Interface)</t>
  </si>
  <si>
    <t>Remuneração Variável/Nova Remuneração Variável</t>
  </si>
  <si>
    <t>Atestado - Theo</t>
  </si>
  <si>
    <t>Sem desenvolvimento adicional Será utilizada a versão da OI.</t>
  </si>
  <si>
    <t>GUPY/UNICO</t>
  </si>
  <si>
    <t>Informe de Rendimentos</t>
  </si>
  <si>
    <t>Manter apenas para Histórico</t>
  </si>
  <si>
    <t>APP Colaborador de Campo</t>
  </si>
  <si>
    <t>Vivian</t>
  </si>
  <si>
    <t>Status</t>
  </si>
  <si>
    <t>Concluído</t>
  </si>
  <si>
    <t>Jussara/Valeria</t>
  </si>
  <si>
    <t>Configuração/Testes em andamento(Cargos, tabelas salariais..)</t>
  </si>
  <si>
    <t>concluído</t>
  </si>
  <si>
    <t>Dani Gouvea</t>
  </si>
  <si>
    <t>Desativar aplicação dentro da Serede - TI: Após 01/08</t>
  </si>
  <si>
    <t>Alterar Workflow do portal de gente - Jussara [A definir]</t>
  </si>
  <si>
    <t>Contratar Accenture p/ adaptar APP THEO - Valéria/Supr.: 05/05</t>
  </si>
  <si>
    <t>Elaborar OG (Accenture) - Valeria: 25/04</t>
  </si>
  <si>
    <t>TBD</t>
  </si>
  <si>
    <t>Cinthia Raul</t>
  </si>
  <si>
    <t>Valeria</t>
  </si>
  <si>
    <t>Jussara</t>
  </si>
  <si>
    <t>Alessandra ATF / Claudia</t>
  </si>
  <si>
    <t>Marcelo Gomes</t>
  </si>
  <si>
    <t xml:space="preserve">
Criação de materiais – template em atualização</t>
  </si>
  <si>
    <t>Hozana</t>
  </si>
  <si>
    <t>Área</t>
  </si>
  <si>
    <t>Em Andamento</t>
  </si>
  <si>
    <t>Marina</t>
  </si>
  <si>
    <t>Patricia Almeida</t>
  </si>
  <si>
    <t>Paulo Vidal</t>
  </si>
  <si>
    <t>Willian ( Serede )</t>
  </si>
  <si>
    <t>Tributos</t>
  </si>
  <si>
    <t>Willian (Serede)/Pedro Lauand</t>
  </si>
  <si>
    <t>Rafael Muniz/Hugo ( Serede)</t>
  </si>
  <si>
    <t>Patricia Decursi</t>
  </si>
  <si>
    <t>FP&amp;A</t>
  </si>
  <si>
    <t>Charlene/Anderson</t>
  </si>
  <si>
    <t>Vivian/Lino</t>
  </si>
  <si>
    <t>Serede 
Energia</t>
  </si>
  <si>
    <t>Grand Total</t>
  </si>
  <si>
    <t>Count of Ação Prioritária</t>
  </si>
  <si>
    <t>Tesouraria</t>
  </si>
  <si>
    <t>Contabilidade</t>
  </si>
  <si>
    <t>Faturamento Serede</t>
  </si>
  <si>
    <t>Projeto</t>
  </si>
  <si>
    <t>Hugo Serede</t>
  </si>
  <si>
    <t>Tatiana Cardozo/Hugo (Serede)</t>
  </si>
  <si>
    <t>Duhare</t>
  </si>
  <si>
    <t>Tributos Serede</t>
  </si>
  <si>
    <t>Lino</t>
  </si>
  <si>
    <t>Sem Impacto</t>
  </si>
  <si>
    <t>Próxima aTI Oividade Cutover em Junho/25</t>
  </si>
  <si>
    <t>Será internalizada. Us técnica de Integração reunião agendada para 09/04. Não será necessária pois uTI Oilizaremos a integração do intranet BD2</t>
  </si>
  <si>
    <t>Us técnica de Integração reunião agendada para 09/04. Não será necessária pois uTI Oilizaremos a integração do intranet BD2</t>
  </si>
  <si>
    <t>Criação de Fornecedores: estudo de TI Oi em andamento</t>
  </si>
  <si>
    <t>Formalizado/Definido a Definir Estrutura Organizacional - Centros, setores de aTI Oividades, organizações de compras (em analise de TI Oi)</t>
  </si>
  <si>
    <t>Gestão de GaranTI Oias</t>
  </si>
  <si>
    <t>US 82574 de estudo no SAP para avaliar SGG Oi para carga dos lançamentos de garanTI Oias Serede. Após entrega do estudo avaliar próximos passos</t>
  </si>
  <si>
    <t>Controle de ATI Oivos</t>
  </si>
  <si>
    <t>Definido que não seguiremos o processo de aTI Oivos da SEREDE e sim o da OI, através do controle de aTI Oivos de microinformáTI Oica e equipamentos de TI Oi no CMDB e ferramental no Netwin. Para a parte de equipamentos de LogísTI Oica será uTI Oilizado o GMS como controle de inventário. Pendente escrita de USs funcionais e técnicas.</t>
  </si>
  <si>
    <t>TI Oi Serede</t>
  </si>
  <si>
    <t>Sistema legado, com dados até 2017. Não é necessária nenhuma adequação para incorporação. O sistema pode conTI Oinuar aTI Oivo para consulta na Serede.</t>
  </si>
  <si>
    <t>Escrita 3 USs que serão contratadas pelo TI Oime SEREDE</t>
  </si>
  <si>
    <t>PORTAL LOGISTI OiCA</t>
  </si>
  <si>
    <t>Portal LogísTI Oico</t>
  </si>
  <si>
    <t>Sistema não é atendido pela TI Oi, não esta na rede da Serede, sem ação de TI Oi</t>
  </si>
  <si>
    <t>Pendente criar US para carregar os equipamentos de TI Oi da serede no CMDB(125)</t>
  </si>
  <si>
    <t>Sem atividade no momento, pois não temos este módulo no ambiente de Homologação</t>
  </si>
  <si>
    <t>Os lançamentos serão feitos manual no SAP pelo Time de negócios</t>
  </si>
  <si>
    <t>Marcia</t>
  </si>
  <si>
    <t>Patrimonio</t>
  </si>
  <si>
    <t xml:space="preserve"> Juridico Serede</t>
  </si>
  <si>
    <t>Juridico Serede</t>
  </si>
  <si>
    <t>TI Oi SEREDE</t>
  </si>
  <si>
    <t>TI  Serede</t>
  </si>
  <si>
    <t>Logistica Serede</t>
  </si>
  <si>
    <t>Thiago</t>
  </si>
  <si>
    <t xml:space="preserve"> TI Oi SEREDE</t>
  </si>
  <si>
    <t>Vivian/Gabriel</t>
  </si>
  <si>
    <t>Ação</t>
  </si>
  <si>
    <t>Retornar com estudo para o bloco de criação de fornecedores</t>
  </si>
  <si>
    <t>Sign-off dos centros de faturamento disponibilizado</t>
  </si>
  <si>
    <t>Retorno da análise de TI da estrutura organizacional</t>
  </si>
  <si>
    <t>Retorno da estória de estudo</t>
  </si>
  <si>
    <t>Retornar com estudo de criação de serviços - SD e MM - para disponibilizar o layout p/a usuário</t>
  </si>
  <si>
    <t>Disponibilização de informações das novas filias</t>
  </si>
  <si>
    <t>Disponibilizar informações adicionais soliticitadas</t>
  </si>
  <si>
    <t>Disponibilizar novos centros/depósitos</t>
  </si>
  <si>
    <t>Definir novos locais de expedição</t>
  </si>
  <si>
    <t>Completar planilha já disponibilizada com os canais e setor de atividades</t>
  </si>
  <si>
    <t>Realizar criação de contas com os bancos</t>
  </si>
  <si>
    <t>Após a criação de contas bancárias, disponibilizar contas contábeis relacionadas.</t>
  </si>
  <si>
    <t>Atualizar template de criação de materias</t>
  </si>
  <si>
    <t>Preencher layout após o retorno de estudo de TI</t>
  </si>
  <si>
    <t>Enviar a Planilha dos Contratos de Fornecedores da Base Serede e incluir na US</t>
  </si>
  <si>
    <t>Enviar a Planilha dos Contratos de Fornecedores da Base Serede para incluir na US</t>
  </si>
  <si>
    <t>Pendente sign off referente a carga manual</t>
  </si>
  <si>
    <t>Enviar a massa de teste</t>
  </si>
  <si>
    <t>Definir data de corte, escopo de carga, tipo, volume do perímetro de migração de pedidos OPEX</t>
  </si>
  <si>
    <t>Especificar adequações necessárias (scripts prioritarios)</t>
  </si>
  <si>
    <t>Disponibilizar OG de prestação de serviço junto ao fornecedor</t>
  </si>
  <si>
    <t>Definir Workflow do portal de gente para atestados</t>
  </si>
  <si>
    <t>Definir parametrização das filias</t>
  </si>
  <si>
    <t>Retornar com avaliação das US de internalização de notas fiscais</t>
  </si>
  <si>
    <t>Unificar funcionalidade do Portal DO para dentro do Portal CLC</t>
  </si>
  <si>
    <t>Pendente envio do Excel DE/PARA de Material e movimento para adequações</t>
  </si>
  <si>
    <t>Enviar de/para de materias contidos no GMS</t>
  </si>
  <si>
    <t>Abrir US de Adequações para o GMS com o Excel</t>
  </si>
  <si>
    <t>Escrever US de Adequações necessárias</t>
  </si>
  <si>
    <t>Receber as categorias que esta dentro do escopo de TI Oi e o que esta fora do escopo de TI Oi</t>
  </si>
  <si>
    <t>Escrita de estória técnica para ajuste sistémico</t>
  </si>
  <si>
    <t>Escrita de US com base nas informações de TAG e XML disponibilizado</t>
  </si>
  <si>
    <t>Escrita de US para acesso dos técnicos da Serede.</t>
  </si>
  <si>
    <t>Disponibilizar quais áreas são usuárias do atende chamados</t>
  </si>
  <si>
    <t>Envio de informações complementares das categorias que estão dentro e fora do escopo de TI</t>
  </si>
  <si>
    <t>Criação de contas bancárias Bradesco e Itaú</t>
  </si>
  <si>
    <t>Informar quais impostos deverão ser aplicáveis por filial</t>
  </si>
  <si>
    <t>Criar conta bancária Bradesco e retornar com o feedback do banco para solução de comprovante de pagamentos.</t>
  </si>
  <si>
    <t>Escrever US técnica para integração do FPW x BD2</t>
  </si>
  <si>
    <t>Configurar/testar : Cadastro de Pessoas, GHs, Centro de Custos, Horários e Lotações, pendente atributos adicionais e atualização dos cargos</t>
  </si>
  <si>
    <t>Migrar ficha financeira para o FPW dos últimos 2 anos</t>
  </si>
  <si>
    <t>Migrar dados de colaboradores inativos</t>
  </si>
  <si>
    <t>Configurar/testar : Folha de pagamento</t>
  </si>
  <si>
    <t>Configurar/testar : benefícios</t>
  </si>
  <si>
    <t>Validação da Consultora iniciada 31/03 até 17/04(regras de negocio de ponto em aberto – Multi empresa)</t>
  </si>
  <si>
    <t>Validar regras de negócio referente ao ponto</t>
  </si>
  <si>
    <t>Configurar/testar: de cargos e salários</t>
  </si>
  <si>
    <t>on road</t>
  </si>
  <si>
    <t>Parametrizar auto atendimento (portal de gente)</t>
  </si>
  <si>
    <t>Validar OG do e-social disponibilizada pelo time de RH</t>
  </si>
  <si>
    <t>Cutover GH</t>
  </si>
  <si>
    <t>Adicionar a próxima Sprint</t>
  </si>
  <si>
    <t>Retorno da estória de estudo referente ao MM/GMS</t>
  </si>
  <si>
    <t>Retorno da estória de estudo gestão de garantias</t>
  </si>
  <si>
    <t>Contratar prestador de serviço Comply</t>
  </si>
  <si>
    <t>Escrita de US técnica referente portal CLCO</t>
  </si>
  <si>
    <t>Retorno da avaliação da Capgemini referente  interfaces que são utilizadas para integração entre GMS e SAP</t>
  </si>
  <si>
    <t>Escrita de estória técnica para ajuste sistémico GESTECH</t>
  </si>
  <si>
    <t>Escrever US técnica para carregar os equipamentos de TI Oi da serede no CMDB(125)</t>
  </si>
  <si>
    <t>Encaminhar estória para Ti</t>
  </si>
  <si>
    <t>Conluído</t>
  </si>
  <si>
    <t>Retornar com estudo de criação de serviços - SD e MM</t>
  </si>
  <si>
    <t>Não há impacto em TI</t>
  </si>
  <si>
    <t>Tharcia</t>
  </si>
  <si>
    <t>Configuração/Testes em andamento(finalizado: Cadastro de Pessoas, GHs, Centro de Custos, Horários e Lotações, pendente atributos adicionais e atualização dos cargos)</t>
  </si>
  <si>
    <t>OG entregue e em validação pelo TI Oime OI</t>
  </si>
  <si>
    <t>Será realizada uma nova reunião para alinhamento das pendencias em relação ao escopoEscala Final de Semana (Espanhola) – reunião agendada para 15/04</t>
  </si>
  <si>
    <t>Remuneração Variável/Nova Remuneração VariávelSerá internalizada. Manter o processo existente hoje na SeredeUs técnica de Integração reunião agendada para 09/04. Não será necessária pois utilizaremos a integração do intranet BD2</t>
  </si>
  <si>
    <t>Sem Adequação, pois é apenas leitura de PDF. Para 2025 (dados de 2024) não teremos impactoPara a fase 2 teremos apenas ajuste de TR para ID OI</t>
  </si>
  <si>
    <t>Será internalizado. Haverá integração com FPW OI. Reunião Técnica agendada com Abbacom ocorrida em 10/04, itens técnicos e custos serão entregues até 15/04Integrar com NDS e envolver SI.</t>
  </si>
  <si>
    <t>Criação de materiais – template em atualização</t>
  </si>
  <si>
    <t>Criação de fornecedores – template em atualização</t>
  </si>
  <si>
    <t>Criação de mestres de serviço – template em atualização</t>
  </si>
  <si>
    <t>Definir as Organizações de Venda </t>
  </si>
  <si>
    <t>Definir se haverá migração de pedidos e requisições, inclusive do Jurídico: Opex: pendente do usuárioMigração de pedidos e requisições: Capex: sem us, o cadastro será feito manualmente.</t>
  </si>
  <si>
    <t>Pendente escrita de US para controle de Ativos</t>
  </si>
  <si>
    <t>Em contratação via Suprimentos do serviço de mensageria de ISSEscrita a de US (Municípios/Volumetria), pendente informações de TAG e XML, reunião agendada com a Neogrid para 16/04</t>
  </si>
  <si>
    <t>RHFPW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</si>
</sst>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3" fillId="0" borderId="0" xfId="0" applyFont="1" applyAlignment="1">
      <alignment wrapText="1"/>
    </xf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center" wrapText="1"/>
    </xf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3" fillId="3" borderId="0" xfId="0" applyFont="1" applyFill="1" applyAlignment="1">
      <alignment wrapText="1"/>
    </xf>
    <xf numFmtId="0" fontId="4" fillId="0" borderId="0" xfId="0" applyFont="1" applyFill="1"/>
    <xf numFmtId="0" fontId="0" fillId="0" borderId="0" xfId="0" applyFill="1"/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10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b val="0"/>
      </font>
    </dxf>
    <dxf>
      <font>
        <b val="0"/>
      </font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b val="0"/>
      </font>
    </dxf>
    <dxf>
      <font>
        <b val="0"/>
      </font>
    </dxf>
    <dxf>
      <alignment wrapText="1"/>
    </dxf>
    <dxf>
      <alignment wrapText="1"/>
    </dxf>
    <dxf>
      <alignment wrapText="1"/>
    </dxf>
    <dxf>
      <numFmt numFmtId="19" formatCode="dd/mm/yy"/>
    </dxf>
    <dxf>
      <numFmt numFmtId="19" formatCode="dd/mm/yy"/>
    </dxf>
  </dxfs>
  <tableStyles count="0" defaultTableStyle="TableStyleMedium9" defaultPivotStyle="PivotStyleLight16"/>
  <colors>
    <mruColors>
      <color rgb="FF00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769.495786342595" createdVersion="8" refreshedVersion="8" minRefreshableVersion="3" recordCount="116" xr:uid="{5EA5C153-3C27-1543-96E8-62A59B52DE14}">
  <cacheSource type="worksheet">
    <worksheetSource ref="A1:I1048576" sheet="Ações mapeadas"/>
  </cacheSource>
  <cacheFields count="9">
    <cacheField name="Fase" numFmtId="0">
      <sharedItems containsBlank="1"/>
    </cacheField>
    <cacheField name="Sistema" numFmtId="0">
      <sharedItems containsBlank="1" count="36">
        <s v="RHFPW"/>
        <s v="CONTRACHEQUE"/>
        <s v="CONTROLE DE JORNADA"/>
        <s v="PORTAL DE GH"/>
        <s v="REMUNERAÇÃO VARIÁVEL"/>
        <s v="ATESTADO - THEO"/>
        <s v="GUPY/ÚNICO"/>
        <s v="INFORME DE RENDIMENTOS"/>
        <s v="TUP/VONIX"/>
        <s v="ATENDE CONECTA/ CANAL RM"/>
        <s v="APP COLABORADOR DE CAMPO"/>
        <s v="SAP"/>
        <s v="NETWIN"/>
        <s v="MASTERSAF"/>
        <s v="TAX ONE / ADD TAX"/>
        <s v="NEOGRID"/>
        <s v="COMPLY"/>
        <s v="NEXXERA"/>
        <s v="FROTA"/>
        <s v="TRAVEL"/>
        <s v="Posto Fiscal"/>
        <s v="PORTAL LOGISTI OiCA"/>
        <s v="PORTAL DO"/>
        <s v="PORTAL CRM"/>
        <s v="PORTAL CLCO"/>
        <s v="GMS"/>
        <s v="PIPEFY"/>
        <s v="GESTECH"/>
        <s v="CLICK"/>
        <s v="FSL"/>
        <s v="GLPI/CMDB"/>
        <s v="ITSM"/>
        <s v="Topologia de Rede"/>
        <m/>
        <s v="RH_x000a_FPW" u="1"/>
        <s v="PORTAL LOGISTICA" u="1"/>
      </sharedItems>
    </cacheField>
    <cacheField name="Processo" numFmtId="0">
      <sharedItems containsBlank="1"/>
    </cacheField>
    <cacheField name="Ação Prioritária" numFmtId="0">
      <sharedItems containsBlank="1" longText="1"/>
    </cacheField>
    <cacheField name="Ação" numFmtId="0">
      <sharedItems containsBlank="1"/>
    </cacheField>
    <cacheField name="Prazo" numFmtId="164">
      <sharedItems containsDate="1" containsBlank="1" containsMixedTypes="1" minDate="2025-03-31T00:00:00" maxDate="2025-08-02T00:00:00" count="42">
        <d v="2025-04-16T00:00:00"/>
        <d v="2025-05-10T00:00:00"/>
        <d v="2025-08-01T00:00:00"/>
        <d v="2025-04-30T00:00:00"/>
        <d v="2025-05-09T00:00:00"/>
        <d v="2025-04-04T00:00:00"/>
        <d v="2025-04-17T00:00:00"/>
        <d v="2025-06-19T00:00:00"/>
        <d v="2025-06-20T00:00:00"/>
        <d v="2025-06-02T00:00:00"/>
        <d v="2025-03-31T00:00:00"/>
        <d v="2025-04-08T00:00:00"/>
        <d v="2025-06-01T00:00:00"/>
        <d v="2025-04-22T00:00:00"/>
        <d v="2025-04-09T00:00:00"/>
        <d v="2025-04-25T00:00:00"/>
        <d v="2025-05-05T00:00:00"/>
        <s v="TBD"/>
        <d v="2025-04-01T00:00:00"/>
        <d v="2025-04-10T00:00:00"/>
        <d v="2025-04-15T00:00:00"/>
        <d v="2025-04-28T00:00:00"/>
        <d v="2025-04-11T00:00:00"/>
        <s v="07/04"/>
        <s v="11/04"/>
        <d v="2025-04-24T00:00:00"/>
        <s v="24/04"/>
        <s v="15/04"/>
        <d v="2025-04-07T00:00:00"/>
        <d v="2025-04-03T00:00:00"/>
        <s v="01/04"/>
        <s v="30/04"/>
        <d v="2025-04-02T00:00:00"/>
        <m/>
        <s v="25/04" u="1"/>
        <s v="17/04" u="1"/>
        <s v="02/04_x000a_30/04" u="1"/>
        <s v="10/04" u="1"/>
        <s v="02/04" u="1"/>
        <s v="09/04_x000a_17/04" u="1"/>
        <s v="05/05" u="1"/>
        <d v="2025-05-20T00:00:00" u="1"/>
      </sharedItems>
    </cacheField>
    <cacheField name="Resp" numFmtId="0">
      <sharedItems containsBlank="1" count="31">
        <s v="Vivian"/>
        <s v="Jussara/Valeria"/>
        <s v="Dani Gouvea"/>
        <s v="Cinthia Raul"/>
        <s v="Valeria"/>
        <s v="Jussara"/>
        <s v="Alessandra ATF / Claudia"/>
        <s v="Duhare"/>
        <s v="Marcelo Gomes"/>
        <s v="Hozana"/>
        <s v="Marina"/>
        <s v="Willian ( Serede )"/>
        <s v="Vivian/Gabriel"/>
        <s v="Paulo Vidal"/>
        <s v="Patricia Almeida"/>
        <s v="Willian (Serede)/Pedro Lauand"/>
        <s v="Rafael Muniz/Hugo ( Serede)"/>
        <s v="Patricia Decursi"/>
        <s v="Charlene/Anderson"/>
        <s v="Hugo Serede"/>
        <s v="Marcia"/>
        <s v=" Juridico Serede"/>
        <s v="Juridico Serede"/>
        <s v="Lino"/>
        <s v="Tatiana Cardozo/Hugo (Serede)"/>
        <s v="Serede"/>
        <s v="Tharcia"/>
        <s v="Vivian/Lino"/>
        <s v="Thiago"/>
        <m/>
        <s v="Alan/Duhare" u="1"/>
      </sharedItems>
    </cacheField>
    <cacheField name="Área" numFmtId="0">
      <sharedItems containsBlank="1" count="43">
        <s v="TI Oi"/>
        <s v="RH"/>
        <s v="Tesouraria"/>
        <s v="Societário"/>
        <s v="Logistica"/>
        <s v="Contabilidade"/>
        <s v="Posto Fiscal"/>
        <s v="Faturamento Serede"/>
        <s v="Serede"/>
        <s v="Tributos"/>
        <s v="Projeto"/>
        <s v="Suprimentos"/>
        <s v="FP&amp;A"/>
        <s v="M&amp;A"/>
        <s v="Patrimonio"/>
        <s v="Serede _x000a_Energia"/>
        <s v="Juridico Serede"/>
        <s v=" TI Oi SEREDE"/>
        <s v="Controladoria"/>
        <s v="Tributos Serede"/>
        <s v="TI Serede"/>
        <s v="TI Oi SEREDE"/>
        <s v="TI  Serede"/>
        <s v="Logistica Serede"/>
        <m/>
        <s v="TI Oi " u="1"/>
        <s v="RH/TI Oi" u="1"/>
        <s v="TI Oi / TI Oi SEREDE" u="1"/>
        <s v="TI Oi/Patrimonio" u="1"/>
        <s v="TI Oi/Juridico Serede" u="1"/>
        <s v="TI Oi/Serede" u="1"/>
        <s v="TI Oi/Suprimentos" u="1"/>
        <s v="TI Oi/Tributos" u="1"/>
        <s v="TI Oi/Projeto" u="1"/>
        <s v="TI Oi/Logistica" u="1"/>
        <s v="RH/TI" u="1"/>
        <s v="TI" u="1"/>
        <s v="TI Oi / TI SEREDE" u="1"/>
        <s v="TI/Patrimonio" u="1"/>
        <s v="Ti/Juridico Serede" u="1"/>
        <s v="TI/Projeto" u="1"/>
        <s v="Ti/Logistica" u="1"/>
        <s v="ç" u="1"/>
      </sharedItems>
    </cacheField>
    <cacheField name="Status" numFmtId="0">
      <sharedItems containsBlank="1" count="6">
        <s v="Em Andamento"/>
        <s v="Concluído"/>
        <s v="on road"/>
        <s v="Sem Impacto"/>
        <s v="Conluí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MVP"/>
    <x v="0"/>
    <s v="Migração de Dados"/>
    <s v="Configuração/Testes em andamento(finalizado: Cadastro de Pessoas, GHs, Centro de Custos, Horários e Lotações, pendente atributos adicionais e atualização dos cargos)"/>
    <s v="Configurar/testar : Cadastro de Pessoas, GHs, Centro de Custos, Horários e Lotações, pendente atributos adicionais e atualização dos cargos"/>
    <x v="0"/>
    <x v="0"/>
    <x v="0"/>
    <x v="0"/>
  </r>
  <r>
    <s v="MVP"/>
    <x v="0"/>
    <s v="Migração de Dados"/>
    <s v="Ficha Financeira será entregue os 2 últimos anos para a validação, os demais anos serão entregues na sequencia."/>
    <s v="Migrar ficha financeira para o FPW dos últimos 2 anos"/>
    <x v="0"/>
    <x v="0"/>
    <x v="0"/>
    <x v="0"/>
  </r>
  <r>
    <s v="MVP"/>
    <x v="0"/>
    <s v="Migração de Dados"/>
    <s v="Validações ocorrerão após 16/04"/>
    <m/>
    <x v="1"/>
    <x v="1"/>
    <x v="1"/>
    <x v="0"/>
  </r>
  <r>
    <s v="MVP"/>
    <x v="0"/>
    <s v="Migração de Dados"/>
    <s v="Dados dos colaboradores inativos serão migrados pós Go-live"/>
    <s v="Migrar dados de colaboradores inativos"/>
    <x v="2"/>
    <x v="0"/>
    <x v="0"/>
    <x v="0"/>
  </r>
  <r>
    <s v="MVP"/>
    <x v="0"/>
    <s v="Folha de Pagamento"/>
    <s v="Configuração/Testes em andamento"/>
    <s v="Configurar/testar : Folha de pagamento"/>
    <x v="3"/>
    <x v="0"/>
    <x v="0"/>
    <x v="0"/>
  </r>
  <r>
    <s v="MVP"/>
    <x v="0"/>
    <s v="Benefícios"/>
    <s v="Configuração/Testes em andamento"/>
    <s v="Configurar/testar : benefícios"/>
    <x v="4"/>
    <x v="0"/>
    <x v="0"/>
    <x v="0"/>
  </r>
  <r>
    <s v="MVP"/>
    <x v="0"/>
    <s v="Ponto"/>
    <s v="Migração com dados de Homologação  - Concluída"/>
    <m/>
    <x v="5"/>
    <x v="0"/>
    <x v="0"/>
    <x v="1"/>
  </r>
  <r>
    <s v="MVP"/>
    <x v="0"/>
    <s v="Ponto"/>
    <s v="Validação da Consultora iniciada 31/03 até 17/04(regras de negocio de ponto em aberto – Multi empresa)"/>
    <s v="Validar regras de negócio referente ao ponto"/>
    <x v="6"/>
    <x v="0"/>
    <x v="0"/>
    <x v="0"/>
  </r>
  <r>
    <s v="MVP"/>
    <x v="0"/>
    <s v="Ponto"/>
    <s v="Liberação do Executável 07/04 a 25/04 – em andamento"/>
    <m/>
    <x v="3"/>
    <x v="1"/>
    <x v="1"/>
    <x v="0"/>
  </r>
  <r>
    <s v="MVP"/>
    <x v="0"/>
    <s v="Cargos e Salários"/>
    <s v="Configuração/Testes em andamento(Cargos, tabelas salariais..)"/>
    <s v="Configurar/testar: de cargos e salários"/>
    <x v="3"/>
    <x v="0"/>
    <x v="0"/>
    <x v="0"/>
  </r>
  <r>
    <s v="MVP"/>
    <x v="0"/>
    <s v="Medicina e Segurança - SOC"/>
    <s v="Sem atividade no momento, pois não temos este módulo no ambiente de Homologação"/>
    <m/>
    <x v="7"/>
    <x v="0"/>
    <x v="0"/>
    <x v="2"/>
  </r>
  <r>
    <s v="MVP"/>
    <x v="0"/>
    <s v="Auto Atendimento (Portal de Gente)"/>
    <s v="Parametrizações iniciadas até 10/04 e em andamento"/>
    <s v="Parametrizar auto atendimento (portal de gente)"/>
    <x v="3"/>
    <x v="0"/>
    <x v="0"/>
    <x v="0"/>
  </r>
  <r>
    <s v="MVP"/>
    <x v="0"/>
    <s v="E-social"/>
    <s v="OG entregue e em validação pelo TI Oime OI"/>
    <s v="Validar OG do e-social disponibilizada pelo time de RH"/>
    <x v="8"/>
    <x v="0"/>
    <x v="0"/>
    <x v="0"/>
  </r>
  <r>
    <s v="MVP"/>
    <x v="0"/>
    <s v="Workflow"/>
    <s v="Definido que os fluxos de férias, atualização de dados cadastrais e rescisão. "/>
    <m/>
    <x v="0"/>
    <x v="1"/>
    <x v="1"/>
    <x v="0"/>
  </r>
  <r>
    <s v="MVP"/>
    <x v="0"/>
    <s v="Workflow"/>
    <s v="Será realizada uma nova reunião para alinhamento das pendencias em relação ao escopoEscala Final de Semana (Espanhola) – reunião agendada para 15/04"/>
    <m/>
    <x v="3"/>
    <x v="1"/>
    <x v="1"/>
    <x v="0"/>
  </r>
  <r>
    <s v="MVP"/>
    <x v="0"/>
    <s v="Orçamento Pessoal"/>
    <s v="Definido que utilizaremos o módulo de orçamento da OI, este tema será tratado em Junho."/>
    <m/>
    <x v="9"/>
    <x v="1"/>
    <x v="1"/>
    <x v="0"/>
  </r>
  <r>
    <s v="MVP"/>
    <x v="0"/>
    <s v="GH"/>
    <s v="Entregue estrutura/Centro de Custos em 31/03"/>
    <m/>
    <x v="10"/>
    <x v="1"/>
    <x v="1"/>
    <x v="1"/>
  </r>
  <r>
    <s v="MVP"/>
    <x v="0"/>
    <s v="GH"/>
    <s v="Validado o 5º nível de gestão com o Jurídico Trabalhista"/>
    <m/>
    <x v="11"/>
    <x v="1"/>
    <x v="1"/>
    <x v="1"/>
  </r>
  <r>
    <s v="MVP"/>
    <x v="0"/>
    <s v="GH"/>
    <s v="Parametrizações finalizadas em 08/04"/>
    <m/>
    <x v="11"/>
    <x v="1"/>
    <x v="1"/>
    <x v="1"/>
  </r>
  <r>
    <s v="MVP"/>
    <x v="0"/>
    <s v="GH"/>
    <s v="Próxima aTI Oividade Cutover em Junho/25"/>
    <s v="Cutover GH"/>
    <x v="12"/>
    <x v="0"/>
    <x v="0"/>
    <x v="0"/>
  </r>
  <r>
    <s v="MVP"/>
    <x v="0"/>
    <s v="Integração FPW x BD2"/>
    <s v="Escrever US técnica"/>
    <s v="Escrever US técnica para integração do FPW x BD2"/>
    <x v="6"/>
    <x v="0"/>
    <x v="0"/>
    <x v="0"/>
  </r>
  <r>
    <s v="MVP"/>
    <x v="1"/>
    <s v="Contracheque"/>
    <s v="Não será internalizada. Pendente contratação do contracheque pela banco Bradesco e Itaú (4/4)"/>
    <s v="Criação de contas bancárias Bradesco e Itaú"/>
    <x v="13"/>
    <x v="2"/>
    <x v="2"/>
    <x v="0"/>
  </r>
  <r>
    <s v="MVP"/>
    <x v="1"/>
    <s v="Contracheque"/>
    <s v="Desativar aplicação dentro da Serede após 1/8 – Comunicar com antecedência"/>
    <m/>
    <x v="2"/>
    <x v="2"/>
    <x v="2"/>
    <x v="0"/>
  </r>
  <r>
    <s v="MVP"/>
    <x v="2"/>
    <s v="Controle de Jornada"/>
    <s v="Será internalizada. Us técnica de Integração reunião agendada para 09/04. Não será necessária pois uTI Oilizaremos a integração do intranet BD2"/>
    <m/>
    <x v="14"/>
    <x v="0"/>
    <x v="0"/>
    <x v="1"/>
  </r>
  <r>
    <s v="MVP"/>
    <x v="3"/>
    <s v="Portal de GH (Não será internalizada na OI - Interface)"/>
    <s v="Us técnica de Integração reunião agendada para 09/04. Não será necessária pois uTI Oilizaremos a integração do intranet BD2"/>
    <m/>
    <x v="14"/>
    <x v="0"/>
    <x v="0"/>
    <x v="1"/>
  </r>
  <r>
    <s v="MVP"/>
    <x v="4"/>
    <s v="Remuneração Variável/Nova Remuneração Variável"/>
    <s v="Remuneração Variável/Nova Remuneração VariávelSerá internalizada. Manter o processo existente hoje na SeredeUs técnica de Integração reunião agendada para 09/04. Não será necessária pois utilizaremos a integração do intranet BD2"/>
    <m/>
    <x v="14"/>
    <x v="1"/>
    <x v="1"/>
    <x v="1"/>
  </r>
  <r>
    <s v="MVP"/>
    <x v="5"/>
    <s v="Atestado - Theo"/>
    <s v="Especificar adequações necessárias (scripts prioritarios)"/>
    <s v="Especificar adequações necessárias (scripts prioritarios)"/>
    <x v="15"/>
    <x v="3"/>
    <x v="1"/>
    <x v="0"/>
  </r>
  <r>
    <s v="MVP"/>
    <x v="5"/>
    <s v="Atestado - Theo"/>
    <s v="Elaborar OG (Accenture) - Valeria: 25/04"/>
    <s v="Disponibilizar OG de prestação de serviço junto ao fornecedor"/>
    <x v="15"/>
    <x v="4"/>
    <x v="1"/>
    <x v="0"/>
  </r>
  <r>
    <s v="MVP"/>
    <x v="5"/>
    <s v="Atestado - Theo"/>
    <s v="Contratar Accenture p/ adaptar APP THEO - Valéria/Supr.: 05/05"/>
    <m/>
    <x v="16"/>
    <x v="4"/>
    <x v="1"/>
    <x v="0"/>
  </r>
  <r>
    <s v="MVP"/>
    <x v="5"/>
    <s v="Atestado - Theo"/>
    <s v="Alterar Workflow do portal de gente - Jussara [A definir]"/>
    <s v="Definir Workflow do portal de gente para atestados"/>
    <x v="17"/>
    <x v="5"/>
    <x v="1"/>
    <x v="0"/>
  </r>
  <r>
    <s v="MVP"/>
    <x v="5"/>
    <s v="Atestado - Theo"/>
    <s v="Desativar aplicação dentro da Serede - TI: Após 01/08"/>
    <m/>
    <x v="2"/>
    <x v="1"/>
    <x v="1"/>
    <x v="0"/>
  </r>
  <r>
    <s v="MVP"/>
    <x v="6"/>
    <s v="GUPY/UNICO"/>
    <s v="Sem desenvolvimento adicional Será utilizada a versão da OI."/>
    <m/>
    <x v="18"/>
    <x v="1"/>
    <x v="1"/>
    <x v="1"/>
  </r>
  <r>
    <s v="MVP"/>
    <x v="7"/>
    <s v="Informe de Rendimentos"/>
    <s v="Sem Adequação, pois é apenas leitura de PDF. Para 2025 (dados de 2024) não teremos impactoPara a fase 2 teremos apenas ajuste de TR para ID OI"/>
    <m/>
    <x v="19"/>
    <x v="1"/>
    <x v="1"/>
    <x v="1"/>
  </r>
  <r>
    <s v="MVP"/>
    <x v="8"/>
    <s v="TUP/VONIX"/>
    <s v="Us técnica de Integração reunião agendada para 09/04. Não será necessária pois uTI Oilizaremos a integração do intranet BD2"/>
    <m/>
    <x v="14"/>
    <x v="0"/>
    <x v="0"/>
    <x v="1"/>
  </r>
  <r>
    <s v="MVP"/>
    <x v="9"/>
    <s v="ATENDE CONECTA/ CANAL RM"/>
    <s v="Manter apenas para Histórico"/>
    <m/>
    <x v="18"/>
    <x v="0"/>
    <x v="0"/>
    <x v="1"/>
  </r>
  <r>
    <s v="MVP"/>
    <x v="10"/>
    <s v="APP Colaborador de Campo"/>
    <s v="Será internalizado. Haverá integração com FPW OI. Reunião Técnica agendada com Abbacom ocorrida em 10/04, itens técnicos e custos serão entregues até 15/04Integrar com NDS e envolver SI."/>
    <s v="Escrita de estória técnica para ajuste sistémico"/>
    <x v="20"/>
    <x v="0"/>
    <x v="0"/>
    <x v="0"/>
  </r>
  <r>
    <s v="MVP"/>
    <x v="11"/>
    <s v="FILIAIS"/>
    <s v="12 Novas Filiais – pendente envio dos dados"/>
    <s v="Disponibilização de informações das novas filias"/>
    <x v="21"/>
    <x v="6"/>
    <x v="3"/>
    <x v="0"/>
  </r>
  <r>
    <s v="MVP"/>
    <x v="11"/>
    <s v="FILIAIS"/>
    <s v="11 filiais já existem no SAP e não é necessário configuração"/>
    <m/>
    <x v="21"/>
    <x v="6"/>
    <x v="3"/>
    <x v="1"/>
  </r>
  <r>
    <s v="MVP"/>
    <x v="11"/>
    <s v="FILIAIS"/>
    <s v="28 filiais enviadas em configuração(US aberta para atualização de SP)"/>
    <s v="Disponibilizar informações adicionais soliticitadas"/>
    <x v="21"/>
    <x v="6"/>
    <x v="3"/>
    <x v="0"/>
  </r>
  <r>
    <s v="MVP"/>
    <x v="11"/>
    <s v="FILIAIS"/>
    <s v="01 Filial pendente com ATF"/>
    <s v="Disponibilizar informações adicionais soliticitadas"/>
    <x v="21"/>
    <x v="6"/>
    <x v="3"/>
    <x v="0"/>
  </r>
  <r>
    <s v="MVP"/>
    <x v="11"/>
    <s v="Estrutura Organizacional"/>
    <s v="Organização de venda"/>
    <m/>
    <x v="22"/>
    <x v="7"/>
    <x v="4"/>
    <x v="1"/>
  </r>
  <r>
    <s v="MVP"/>
    <x v="11"/>
    <s v="Estrutura Organizacional"/>
    <s v="Local de Expedição (em avaliação)"/>
    <s v="Definir novos locais de expedição"/>
    <x v="6"/>
    <x v="7"/>
    <x v="4"/>
    <x v="0"/>
  </r>
  <r>
    <s v="MVP"/>
    <x v="11"/>
    <s v="Estrutura Organizacional"/>
    <s v="Canal e Setor de Atividades (em avaliação)"/>
    <s v="Completar planilha já disponibilizada com os canais e setor de atividades"/>
    <x v="6"/>
    <x v="7"/>
    <x v="4"/>
    <x v="0"/>
  </r>
  <r>
    <s v="MVP"/>
    <x v="11"/>
    <s v="Estrutura Organizacional"/>
    <s v="Centro/Depósito"/>
    <s v="Disponibilizar novos centros/depósitos"/>
    <x v="6"/>
    <x v="7"/>
    <x v="4"/>
    <x v="0"/>
  </r>
  <r>
    <s v="MVP"/>
    <x v="11"/>
    <s v="Definir Contas Contábeis/Bancária (Plano de Contas)"/>
    <s v="Pendente numero da conta e convênio(RH) – Atualizar US"/>
    <s v="Realizar criação de contas com os bancos"/>
    <x v="13"/>
    <x v="2"/>
    <x v="2"/>
    <x v="0"/>
  </r>
  <r>
    <m/>
    <x v="11"/>
    <s v="Definir Contas Contábeis/Bancária (Plano de Contas)"/>
    <s v="Conta Contábil"/>
    <s v="Após a criação de contas bancárias, disponibilizar contas contábeis relacionadas."/>
    <x v="15"/>
    <x v="8"/>
    <x v="5"/>
    <x v="0"/>
  </r>
  <r>
    <s v="MVP"/>
    <x v="11"/>
    <s v="Dados Mestres"/>
    <s v="Criação de materiais – template em atualização"/>
    <s v="Atualizar template de criação de materias"/>
    <x v="6"/>
    <x v="9"/>
    <x v="6"/>
    <x v="0"/>
  </r>
  <r>
    <m/>
    <x v="11"/>
    <s v="Dados Mestres"/>
    <s v="Criação de fornecedores – template em atualização"/>
    <s v="Retornar com estudo de criação de serviços - SD e MM"/>
    <x v="6"/>
    <x v="9"/>
    <x v="6"/>
    <x v="0"/>
  </r>
  <r>
    <m/>
    <x v="11"/>
    <s v="Dados Mestres"/>
    <s v="Formalizado que os serviços em branco na planilha não possuem LC116 "/>
    <m/>
    <x v="14"/>
    <x v="9"/>
    <x v="6"/>
    <x v="1"/>
  </r>
  <r>
    <m/>
    <x v="11"/>
    <s v="Dados Mestres"/>
    <s v="Criação de Fornecedores: estudo de TI Oi em andamento"/>
    <s v="Retornar com estudo para o bloco de criação de fornecedores"/>
    <x v="6"/>
    <x v="0"/>
    <x v="0"/>
    <x v="1"/>
  </r>
  <r>
    <m/>
    <x v="11"/>
    <s v="Dados Mestres"/>
    <s v="Criação de mestres de serviço – template em atualização"/>
    <s v="Preencher layout após o retorno de estudo de TI"/>
    <x v="6"/>
    <x v="9"/>
    <x v="6"/>
    <x v="0"/>
  </r>
  <r>
    <s v="MVP"/>
    <x v="11"/>
    <s v="Estrutura Organizacional"/>
    <s v="Avaliar ajustes na estratégia de Aprovações/PADA OI com a incorporação da Serede(avaliar de acordo com a estrutura organizacional)"/>
    <s v="Avaliar ajustes na estratégia de Aprovações/PADA OI com a incorporação da Serede(avaliar de acordo com a estrutura organizacional)"/>
    <x v="21"/>
    <x v="10"/>
    <x v="3"/>
    <x v="0"/>
  </r>
  <r>
    <s v="MVP"/>
    <x v="11"/>
    <s v="Processo de Vendas e Faturamento"/>
    <s v="Definir as Organizações de Venda "/>
    <m/>
    <x v="22"/>
    <x v="11"/>
    <x v="7"/>
    <x v="1"/>
  </r>
  <r>
    <m/>
    <x v="11"/>
    <s v="Processo de Vendas e Faturamento"/>
    <s v="Definir os centros para Faturamento nas Organizações de Venda"/>
    <s v="Sign-off dos centros de faturamento disponibilizado"/>
    <x v="6"/>
    <x v="12"/>
    <x v="0"/>
    <x v="1"/>
  </r>
  <r>
    <m/>
    <x v="11"/>
    <s v="Processo de Vendas e Faturamento"/>
    <s v="Definir se o valor dos  contratos serão travados no momento do Faturamento  "/>
    <m/>
    <x v="19"/>
    <x v="11"/>
    <x v="8"/>
    <x v="1"/>
  </r>
  <r>
    <m/>
    <x v="11"/>
    <s v="Processo de Vendas e Faturamento"/>
    <s v="Avaliar se será mantida a abertura de Subcontratos "/>
    <m/>
    <x v="19"/>
    <x v="11"/>
    <x v="7"/>
    <x v="1"/>
  </r>
  <r>
    <m/>
    <x v="11"/>
    <s v="Processo de Vendas e Faturamento"/>
    <s v="Avaliar as diferenças entre as ordem de Venda(ZVIE e ZMIE) "/>
    <m/>
    <x v="19"/>
    <x v="11"/>
    <x v="7"/>
    <x v="1"/>
  </r>
  <r>
    <m/>
    <x v="11"/>
    <s v="Processo de Vendas e Faturamento"/>
    <s v="Quais ordens de vendas estão atreladas a quais tipos de contrato "/>
    <m/>
    <x v="19"/>
    <x v="11"/>
    <x v="7"/>
    <x v="1"/>
  </r>
  <r>
    <m/>
    <x v="11"/>
    <s v="Processo de Vendas e Faturamento"/>
    <s v="Informações Tributárias: Obter as alíquotas de ISS, PIS, Cofins, CSLL e IR aplicáveis aos serviços, pendente avaliar a escrita de US "/>
    <m/>
    <x v="19"/>
    <x v="13"/>
    <x v="9"/>
    <x v="1"/>
  </r>
  <r>
    <m/>
    <x v="11"/>
    <s v="Processo de Vendas e Faturamento"/>
    <s v="Pendente reunião para escrita das USs Pendentes"/>
    <m/>
    <x v="0"/>
    <x v="14"/>
    <x v="10"/>
    <x v="1"/>
  </r>
  <r>
    <m/>
    <x v="11"/>
    <s v="Processo de Vendas e Faturamento"/>
    <s v="Controle de Receita e contratos: Identificar a área responsável"/>
    <m/>
    <x v="6"/>
    <x v="15"/>
    <x v="7"/>
    <x v="1"/>
  </r>
  <r>
    <s v="MVP"/>
    <x v="11"/>
    <s v="Suprimentos"/>
    <s v="Enviar a Planilha dos Contratos de Fornecedores da Base Serede e incluir na US"/>
    <s v="Enviar a Planilha dos Contratos de Fornecedores da Base Serede para incluir na US"/>
    <x v="6"/>
    <x v="16"/>
    <x v="11"/>
    <x v="1"/>
  </r>
  <r>
    <m/>
    <x v="11"/>
    <s v="Suprimentos"/>
    <s v="Formalizado/Definido a Definir Estrutura Organizacional - Centros, setores de aTI Oividades, organizações de compras (em analise de TI Oi)"/>
    <s v="Retorno da análise de TI da estrutura organizacional"/>
    <x v="6"/>
    <x v="0"/>
    <x v="0"/>
    <x v="0"/>
  </r>
  <r>
    <s v="MVP"/>
    <x v="11"/>
    <s v="Projetos"/>
    <s v="Encaminhadas USs para aprovação – Todas us´s foram aprovadas"/>
    <m/>
    <x v="23"/>
    <x v="17"/>
    <x v="12"/>
    <x v="1"/>
  </r>
  <r>
    <s v="MVP"/>
    <x v="11"/>
    <s v="Travel"/>
    <s v="Estória de estudo em andamento até 05/05 – entendimento da estrutura de tabelas e programas para avaliação da funcionalidade como um todo."/>
    <s v="Retorno da estória de estudo"/>
    <x v="16"/>
    <x v="0"/>
    <x v="0"/>
    <x v="0"/>
  </r>
  <r>
    <m/>
    <x v="11"/>
    <s v="Travel"/>
    <s v="3USs escritas para o SAP serão incluídas na Sprint a partir de 05/05"/>
    <s v="Adicionar a próxima Sprint"/>
    <x v="16"/>
    <x v="0"/>
    <x v="0"/>
    <x v="1"/>
  </r>
  <r>
    <m/>
    <x v="11"/>
    <s v="MM/GMS"/>
    <s v="US de estudo em andamento até 17/04"/>
    <s v="Retorno da estória de estudo referente ao MM/GMS"/>
    <x v="6"/>
    <x v="0"/>
    <x v="0"/>
    <x v="0"/>
  </r>
  <r>
    <s v="MVP"/>
    <x v="11"/>
    <s v="Contas a Pagar"/>
    <s v="Definir/ Formalizar se meios de pagamento e condições de pagamento permanecem as mesmas da Oi "/>
    <m/>
    <x v="24"/>
    <x v="1"/>
    <x v="1"/>
    <x v="1"/>
  </r>
  <r>
    <m/>
    <x v="11"/>
    <s v="Contas a Pagar"/>
    <s v="Entender com RH sobre geração de boletos de plano de saúde direto no banco, reunião agendada para 11/04 "/>
    <m/>
    <x v="24"/>
    <x v="1"/>
    <x v="1"/>
    <x v="1"/>
  </r>
  <r>
    <s v="MVP"/>
    <x v="11"/>
    <s v="Contas a Receber"/>
    <s v="Definir/ Formalizar se Meios de pagamento e condições de pagamento permanecem as mesmas da Oi "/>
    <m/>
    <x v="24"/>
    <x v="18"/>
    <x v="13"/>
    <x v="1"/>
  </r>
  <r>
    <s v="MVP"/>
    <x v="11"/>
    <s v="Gestão de Garantias"/>
    <s v="US 82574 de estudo no SAP para avaliar SGG Oi para carga dos lançamentos de garanTI Oias Serede. Após entrega do estudo avaliar próximos passos"/>
    <s v="Retorno da estória de estudo gestão de garantias"/>
    <x v="25"/>
    <x v="0"/>
    <x v="0"/>
    <x v="0"/>
  </r>
  <r>
    <m/>
    <x v="11"/>
    <s v="Gestão de GaranTI Oias"/>
    <s v="Serede enviar movimentos contábeis SAP, que compõe saldos de depósitos judiciais "/>
    <m/>
    <x v="26"/>
    <x v="19"/>
    <x v="7"/>
    <x v="1"/>
  </r>
  <r>
    <m/>
    <x v="11"/>
    <s v="Gestão de GaranTI Oias"/>
    <s v="Os lançamentos serão feitos manual no SAP pelo Time de negócios"/>
    <m/>
    <x v="26"/>
    <x v="19"/>
    <x v="7"/>
    <x v="1"/>
  </r>
  <r>
    <m/>
    <x v="11"/>
    <s v="Gestão de Garantias"/>
    <s v="USs escritas aguardando Sprint para desenvolvimento"/>
    <s v="Retorno da estória de estudo gestão de garantias"/>
    <x v="25"/>
    <x v="0"/>
    <x v="0"/>
    <x v="0"/>
  </r>
  <r>
    <s v="MVP"/>
    <x v="11"/>
    <s v="Real State"/>
    <s v="Definido que a Fábrica irá suportar o usuário na criação/carga e cadastro manual das informações. (15 contratos). Reunião agendada 09/4. Pendente confirmação se seguira o processo de carga manual"/>
    <s v="Pendente sign off referente a carga manual"/>
    <x v="27"/>
    <x v="20"/>
    <x v="14"/>
    <x v="1"/>
  </r>
  <r>
    <s v="MVP"/>
    <x v="11"/>
    <s v="Energia"/>
    <s v="US de Testes escrita com bloqueio devido a falta de massa de testes"/>
    <s v="Enviar a massa de teste"/>
    <x v="6"/>
    <x v="19"/>
    <x v="15"/>
    <x v="3"/>
  </r>
  <r>
    <s v="MVP"/>
    <x v="11"/>
    <s v="Posto Fiscal"/>
    <s v="Internalização de Notas Fiscais de entrada/ Interface com o BrNotas (Posto Fiscal)"/>
    <m/>
    <x v="24"/>
    <x v="9"/>
    <x v="6"/>
    <x v="1"/>
  </r>
  <r>
    <m/>
    <x v="11"/>
    <s v="Posto Fiscal"/>
    <s v="Internalização de Notas Fiscais de Serviços (Manual/ Automático)"/>
    <m/>
    <x v="24"/>
    <x v="9"/>
    <x v="6"/>
    <x v="1"/>
  </r>
  <r>
    <m/>
    <x v="11"/>
    <s v="Posto Fiscal"/>
    <s v="Internalização de Notas Fiscais de Materiais (DIEN) - Tipo Prestação de serviços (Manual/ Automático)"/>
    <m/>
    <x v="24"/>
    <x v="9"/>
    <x v="6"/>
    <x v="1"/>
  </r>
  <r>
    <m/>
    <x v="11"/>
    <s v="Posto Fiscal"/>
    <s v="Internalização de Notas Fiscais de Materiais (Manual/ Automático)"/>
    <m/>
    <x v="24"/>
    <x v="9"/>
    <x v="6"/>
    <x v="1"/>
  </r>
  <r>
    <m/>
    <x v="11"/>
    <s v="Posto Fiscal"/>
    <s v="Internalização de Notas Fiscais Writer (Manual/ Automático)"/>
    <m/>
    <x v="24"/>
    <x v="9"/>
    <x v="6"/>
    <x v="1"/>
  </r>
  <r>
    <m/>
    <x v="11"/>
    <s v="Posto Fiscal"/>
    <s v="Internalização de Notas Fiscais Writer - Modelo 66 (Energia Elétrica)"/>
    <m/>
    <x v="24"/>
    <x v="9"/>
    <x v="6"/>
    <x v="1"/>
  </r>
  <r>
    <s v="MVP"/>
    <x v="11"/>
    <s v="Jurídico (SISJUR/SAP)"/>
    <s v="Definir processo de pedidos de Compras para a SEREDE – formalizado que seguirá o processo da OI"/>
    <m/>
    <x v="24"/>
    <x v="21"/>
    <x v="16"/>
    <x v="1"/>
  </r>
  <r>
    <m/>
    <x v="11"/>
    <s v="Jurídico (SISJUR/SAP)"/>
    <s v="Definir processo Recebimento Físico/ Fiscal para a SEREDE - formalizado que seguirá o processo da OI"/>
    <m/>
    <x v="22"/>
    <x v="22"/>
    <x v="16"/>
    <x v="1"/>
  </r>
  <r>
    <m/>
    <x v="11"/>
    <s v="Jurídico (SISJUR/SAP)"/>
    <s v="Escrita US de Testes para avaliar o processo fim a fim"/>
    <m/>
    <x v="22"/>
    <x v="22"/>
    <x v="16"/>
    <x v="1"/>
  </r>
  <r>
    <s v="MVP"/>
    <x v="11"/>
    <s v="Controle de ATI Oivos"/>
    <s v="Definido que não seguiremos o processo de aTI Oivos da SEREDE e sim o da OI, através do controle de aTI Oivos de microinformáTI Oica e equipamentos de TI Oi no CMDB e ferramental no Netwin. Para a parte de equipamentos de LogísTI Oica será uTI Oilizado o GMS como controle de inventário. Pendente escrita de USs funcionais e técnicas."/>
    <m/>
    <x v="20"/>
    <x v="23"/>
    <x v="17"/>
    <x v="1"/>
  </r>
  <r>
    <s v="MVP"/>
    <x v="11"/>
    <s v="Controladoria"/>
    <s v="Definir se haverá migração de pedidos e requisições, inclusive do Jurídico: Opex: pendente do usuárioMigração de pedidos e requisições: Capex: sem us, o cadastro será feito manualmente."/>
    <s v="Definir data de corte, escopo de carga, tipo, volume do perímetro de migração de pedidos OPEX"/>
    <x v="6"/>
    <x v="24"/>
    <x v="18"/>
    <x v="0"/>
  </r>
  <r>
    <s v="MVP"/>
    <x v="12"/>
    <s v="NETWIN"/>
    <s v="Pendente escrita de US para controle de Ativos"/>
    <s v="Encaminhar estória para Ti"/>
    <x v="6"/>
    <x v="14"/>
    <x v="10"/>
    <x v="1"/>
  </r>
  <r>
    <s v="MVP"/>
    <x v="13"/>
    <s v="Mastersaf DF e DW"/>
    <s v="Mastersaf DW será desligado em Maio/25, não será internalizado"/>
    <m/>
    <x v="28"/>
    <x v="0"/>
    <x v="0"/>
    <x v="1"/>
  </r>
  <r>
    <s v="MVP"/>
    <x v="13"/>
    <s v="Mastersaf DF e DW"/>
    <s v="Mastersaf DFE não será internalizado, será substituído p/ Mensageira Neogrid"/>
    <m/>
    <x v="28"/>
    <x v="0"/>
    <x v="0"/>
    <x v="1"/>
  </r>
  <r>
    <s v="MVP"/>
    <x v="14"/>
    <s v="Tax One / Add Tax"/>
    <s v="Formalizado que o ADD TAX será desativado"/>
    <m/>
    <x v="29"/>
    <x v="25"/>
    <x v="19"/>
    <x v="1"/>
  </r>
  <r>
    <m/>
    <x v="14"/>
    <s v="Tax One / Add Tax"/>
    <s v="Manter o TAX ONE apenas como histórico (Mastersaf DFE)"/>
    <m/>
    <x v="29"/>
    <x v="23"/>
    <x v="20"/>
    <x v="1"/>
  </r>
  <r>
    <s v="MVP"/>
    <x v="15"/>
    <s v="Mensageria NEOGRID"/>
    <s v="Em contratação via Suprimentos do serviço de mensageria de ISSEscrita a de US (Municípios/Volumetria), pendente informações de TAG e XML, reunião agendada com a Neogrid para 16/04"/>
    <s v="Escrita de US com base nas informações de TAG e XML disponibilizado"/>
    <x v="15"/>
    <x v="26"/>
    <x v="7"/>
    <x v="0"/>
  </r>
  <r>
    <s v="MVP"/>
    <x v="16"/>
    <s v="Comply"/>
    <s v="Pendente informar as parametrizações das novas filiais terá ICMS e ISS? "/>
    <s v="Informar quais impostos deverão ser aplicáveis por filial"/>
    <x v="3"/>
    <x v="13"/>
    <x v="9"/>
    <x v="0"/>
  </r>
  <r>
    <s v="MVP"/>
    <x v="16"/>
    <s v="Comply"/>
    <s v="Seguiremos as mesmas parametrizações das novas filiais da BTSA? "/>
    <s v="Definir parametrização das filias"/>
    <x v="3"/>
    <x v="13"/>
    <x v="9"/>
    <x v="0"/>
  </r>
  <r>
    <s v="MVP"/>
    <x v="16"/>
    <s v="Comply"/>
    <s v="Pendente contratação da Sonda"/>
    <s v="Contratar prestador de serviço Comply"/>
    <x v="3"/>
    <x v="0"/>
    <x v="0"/>
    <x v="0"/>
  </r>
  <r>
    <s v="MVP"/>
    <x v="17"/>
    <s v="NEXXERA"/>
    <s v="Aguardando retorno do Bradesco sobre uma solução para que não seja necessária a manutenção do contrato da Nexxera"/>
    <s v="Criar conta bancária Bradesco e retornar com o feedback do banco para solução de comprovante de pagamentos."/>
    <x v="6"/>
    <x v="2"/>
    <x v="2"/>
    <x v="0"/>
  </r>
  <r>
    <s v="MVP"/>
    <x v="18"/>
    <s v="Frota"/>
    <s v="Sistema legado, com dados até 2017. Não é necessária nenhuma adequação para incorporação. O sistema pode conTI Oinuar aTI Oivo para consulta na Serede."/>
    <m/>
    <x v="30"/>
    <x v="27"/>
    <x v="21"/>
    <x v="1"/>
  </r>
  <r>
    <s v="MVP"/>
    <x v="19"/>
    <s v="Travel"/>
    <s v="Escrita 3 USs que serão contratadas pelo TI Oime SEREDE"/>
    <m/>
    <x v="20"/>
    <x v="27"/>
    <x v="21"/>
    <x v="1"/>
  </r>
  <r>
    <s v="MVP"/>
    <x v="20"/>
    <s v="GED"/>
    <s v="Us´s de Internalização de NF devem ser avaliadas para complemento após fechar as Us´s de faturamento"/>
    <s v="Retornar com avaliação das US de internalização de notas fiscais"/>
    <x v="6"/>
    <x v="9"/>
    <x v="6"/>
    <x v="4"/>
  </r>
  <r>
    <s v="MVP"/>
    <x v="21"/>
    <s v="Portal LogísTI Oico"/>
    <s v="Sistema não é atendido pela TI Oi, não esta na rede da Serede, sem ação de TI Oi"/>
    <m/>
    <x v="31"/>
    <x v="23"/>
    <x v="20"/>
    <x v="3"/>
  </r>
  <r>
    <s v="MVP"/>
    <x v="22"/>
    <s v="Portal DO"/>
    <s v="Será desligado até 30/04"/>
    <m/>
    <x v="31"/>
    <x v="23"/>
    <x v="22"/>
    <x v="3"/>
  </r>
  <r>
    <s v="MVP"/>
    <x v="23"/>
    <s v="Portal CRM"/>
    <s v="Será desligado até 30/04"/>
    <m/>
    <x v="31"/>
    <x v="23"/>
    <x v="20"/>
    <x v="3"/>
  </r>
  <r>
    <s v="MVP"/>
    <x v="24"/>
    <s v="Portal CLCO "/>
    <s v="Unificar funcionalidade do Portal DO para dentro do Portal CLC"/>
    <s v="Escrita de US técnica referente portal CLCO"/>
    <x v="0"/>
    <x v="0"/>
    <x v="0"/>
    <x v="0"/>
  </r>
  <r>
    <s v="MVP"/>
    <x v="25"/>
    <s v="GMS"/>
    <s v="Pendente envio do Excel DE/PARA de Material e movimento para adequações"/>
    <s v="Enviar de/para de materias contidos no GMS"/>
    <x v="6"/>
    <x v="28"/>
    <x v="23"/>
    <x v="0"/>
  </r>
  <r>
    <s v="MVP"/>
    <x v="25"/>
    <s v="GMS"/>
    <s v="Abrir US de Adequações para o GMS com o Excel"/>
    <s v="Escrever US de Adequações necessárias"/>
    <x v="6"/>
    <x v="28"/>
    <x v="23"/>
    <x v="0"/>
  </r>
  <r>
    <s v="MVP"/>
    <x v="25"/>
    <s v="GMS"/>
    <s v="Levantamento das interfaces que são utilizadas para integração entre GMS e SAP. Em avaliação pela CAP na Sprint corrente"/>
    <s v="Retorno da avaliação da Capgemini referente  interfaces que são utilizadas para integração entre GMS e SAP"/>
    <x v="6"/>
    <x v="0"/>
    <x v="0"/>
    <x v="0"/>
  </r>
  <r>
    <s v="MVP"/>
    <x v="26"/>
    <s v="Pipefy"/>
    <s v="Sistema será desligado até 30/04"/>
    <m/>
    <x v="31"/>
    <x v="23"/>
    <x v="21"/>
    <x v="3"/>
  </r>
  <r>
    <s v="MVP"/>
    <x v="27"/>
    <s v="Gestech"/>
    <s v="Hoje o time da Serede acessa o Gestech existente na infra estrutura da OI, como estamos migrando para a Vtal deverá ajustado o apontamento"/>
    <s v="Escrita de estória técnica para ajuste sistémico GESTECH"/>
    <x v="3"/>
    <x v="0"/>
    <x v="0"/>
    <x v="0"/>
  </r>
  <r>
    <s v="MVP"/>
    <x v="28"/>
    <s v="Click"/>
    <s v="Pendente avaliar o acesso dos técnicos da Serede, dado que os mesmos serão OI"/>
    <s v="Escrita de US para acesso dos técnicos da Serede."/>
    <x v="6"/>
    <x v="7"/>
    <x v="4"/>
    <x v="0"/>
  </r>
  <r>
    <s v="MVP"/>
    <x v="29"/>
    <s v="FSL"/>
    <s v="Time Serede acessará diretamente o Sistema V.tal"/>
    <m/>
    <x v="32"/>
    <x v="7"/>
    <x v="4"/>
    <x v="1"/>
  </r>
  <r>
    <s v="MVP"/>
    <x v="30"/>
    <s v="GLPI/CMDB"/>
    <s v="Pendente criar US para carregar os equipamentos de TI Oi da serede no CMDB(125)"/>
    <s v="Escrever US técnica para carregar os equipamentos de TI Oi da serede no CMDB(125)"/>
    <x v="6"/>
    <x v="0"/>
    <x v="0"/>
    <x v="0"/>
  </r>
  <r>
    <s v="MVP"/>
    <x v="31"/>
    <s v="ITSM (Atende Chamados)"/>
    <s v="Atende chamados será mantido para utilização das demais áreas. Necessário identificar as áreas para os processos já mapeados."/>
    <s v="Disponibilizar quais áreas são usuárias do atende chamados"/>
    <x v="0"/>
    <x v="23"/>
    <x v="20"/>
    <x v="0"/>
  </r>
  <r>
    <s v="MVP"/>
    <x v="31"/>
    <s v="ITSM (Atende Chamados)"/>
    <s v="Receber as categorias que esta dentro do escopo de TI Oi e o que esta fora do escopo de TI Oi"/>
    <s v="Envio de informações complementares das categorias que estão dentro e fora do escopo de TI"/>
    <x v="0"/>
    <x v="23"/>
    <x v="20"/>
    <x v="0"/>
  </r>
  <r>
    <s v="MVP"/>
    <x v="32"/>
    <s v="Topologia de Rede"/>
    <m/>
    <m/>
    <x v="33"/>
    <x v="29"/>
    <x v="24"/>
    <x v="5"/>
  </r>
  <r>
    <m/>
    <x v="33"/>
    <m/>
    <m/>
    <m/>
    <x v="33"/>
    <x v="29"/>
    <x v="2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062A2-9175-A64E-ACCF-ED612B7FA4AD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L31" firstHeaderRow="1" firstDataRow="2" firstDataCol="3" rowPageCount="1" colPageCount="1"/>
  <pivotFields count="9">
    <pivotField compact="0" outline="0" showAll="0"/>
    <pivotField axis="axisRow" compact="0" outline="0" showAll="0" sortType="descending" defaultSubtotal="0">
      <items count="36">
        <item x="11"/>
        <item m="1" x="34"/>
        <item x="20"/>
        <item x="24"/>
        <item x="17"/>
        <item x="12"/>
        <item x="15"/>
        <item x="13"/>
        <item x="31"/>
        <item x="25"/>
        <item x="30"/>
        <item x="27"/>
        <item x="29"/>
        <item x="1"/>
        <item x="16"/>
        <item x="28"/>
        <item x="10"/>
        <item x="33"/>
        <item x="8"/>
        <item x="19"/>
        <item x="32"/>
        <item x="14"/>
        <item x="4"/>
        <item m="1" x="35"/>
        <item x="21"/>
        <item x="22"/>
        <item x="3"/>
        <item x="23"/>
        <item x="26"/>
        <item x="7"/>
        <item x="6"/>
        <item x="18"/>
        <item x="2"/>
        <item x="5"/>
        <item x="9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axis="axisCol" compact="0" outline="0" multipleItemSelectionAllowed="1" showAll="0">
      <items count="43">
        <item x="30"/>
        <item m="1" x="38"/>
        <item m="1" x="36"/>
        <item m="1" x="40"/>
        <item x="23"/>
        <item m="1" x="39"/>
        <item m="1" x="37"/>
        <item x="24"/>
        <item x="27"/>
        <item m="1" x="35"/>
        <item x="26"/>
        <item m="1" x="34"/>
        <item x="31"/>
        <item h="1" x="17"/>
        <item x="10"/>
        <item x="18"/>
        <item x="29"/>
        <item x="5"/>
        <item x="28"/>
        <item x="11"/>
        <item x="14"/>
        <item x="19"/>
        <item x="22"/>
        <item x="20"/>
        <item x="0"/>
        <item x="6"/>
        <item x="13"/>
        <item x="25"/>
        <item x="15"/>
        <item x="21"/>
        <item x="3"/>
        <item h="1" x="16"/>
        <item h="1" x="4"/>
        <item h="1" x="1"/>
        <item h="1" m="1" x="41"/>
        <item h="1" x="12"/>
        <item h="1" x="9"/>
        <item h="1" x="7"/>
        <item h="1" x="8"/>
        <item h="1" x="2"/>
        <item h="1" x="33"/>
        <item h="1" x="32"/>
        <item t="default"/>
      </items>
    </pivotField>
    <pivotField axis="axisRow" compact="0" outline="0" showAll="0">
      <items count="32">
        <item x="21"/>
        <item m="1" x="30"/>
        <item x="6"/>
        <item x="18"/>
        <item x="3"/>
        <item x="2"/>
        <item x="7"/>
        <item x="9"/>
        <item x="19"/>
        <item x="22"/>
        <item x="5"/>
        <item x="1"/>
        <item x="23"/>
        <item x="8"/>
        <item x="20"/>
        <item x="10"/>
        <item x="14"/>
        <item x="17"/>
        <item x="13"/>
        <item x="16"/>
        <item x="25"/>
        <item x="24"/>
        <item x="26"/>
        <item x="28"/>
        <item x="4"/>
        <item x="0"/>
        <item x="12"/>
        <item x="27"/>
        <item x="11"/>
        <item x="15"/>
        <item x="29"/>
        <item t="default"/>
      </items>
    </pivotField>
    <pivotField axis="axisRow" compact="0" outline="0" showAll="0" sortType="descending" defaultSubtotal="0">
      <items count="43">
        <item x="24"/>
        <item x="19"/>
        <item x="9"/>
        <item m="1" x="40"/>
        <item m="1" x="38"/>
        <item m="1" x="41"/>
        <item m="1" x="39"/>
        <item x="20"/>
        <item m="1" x="32"/>
        <item m="1" x="31"/>
        <item m="1" x="30"/>
        <item m="1" x="33"/>
        <item m="1" x="28"/>
        <item m="1" x="34"/>
        <item m="1" x="29"/>
        <item x="21"/>
        <item m="1" x="37"/>
        <item m="1" x="27"/>
        <item m="1" x="25"/>
        <item x="0"/>
        <item x="22"/>
        <item m="1" x="36"/>
        <item x="2"/>
        <item x="11"/>
        <item x="3"/>
        <item x="15"/>
        <item x="8"/>
        <item m="1" x="26"/>
        <item m="1" x="35"/>
        <item x="1"/>
        <item x="10"/>
        <item x="6"/>
        <item x="14"/>
        <item x="13"/>
        <item x="23"/>
        <item x="4"/>
        <item x="16"/>
        <item x="12"/>
        <item x="7"/>
        <item x="18"/>
        <item x="5"/>
        <item m="1" x="42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7">
        <item h="1" sd="0" x="1"/>
        <item x="0"/>
        <item h="1" x="5"/>
        <item h="1" x="3"/>
        <item h="1" x="2"/>
        <item h="1" x="4"/>
        <item t="default"/>
      </items>
    </pivotField>
  </pivotFields>
  <rowFields count="3">
    <field x="7"/>
    <field x="1"/>
    <field x="6"/>
  </rowFields>
  <rowItems count="26">
    <i>
      <x v="19"/>
      <x v="35"/>
      <x v="25"/>
    </i>
    <i r="1">
      <x/>
      <x v="25"/>
    </i>
    <i r="1">
      <x v="14"/>
      <x v="25"/>
    </i>
    <i r="1">
      <x v="9"/>
      <x v="25"/>
    </i>
    <i r="1">
      <x v="16"/>
      <x v="25"/>
    </i>
    <i r="1">
      <x v="3"/>
      <x v="25"/>
    </i>
    <i r="1">
      <x v="11"/>
      <x v="25"/>
    </i>
    <i r="1">
      <x v="10"/>
      <x v="25"/>
    </i>
    <i>
      <x v="29"/>
      <x v="35"/>
      <x v="11"/>
    </i>
    <i r="1">
      <x v="33"/>
      <x v="4"/>
    </i>
    <i r="2">
      <x v="24"/>
    </i>
    <i>
      <x v="35"/>
      <x/>
      <x v="6"/>
    </i>
    <i r="1">
      <x v="15"/>
      <x v="6"/>
    </i>
    <i>
      <x v="24"/>
      <x/>
      <x v="2"/>
    </i>
    <i r="2">
      <x v="15"/>
    </i>
    <i>
      <x v="22"/>
      <x/>
      <x v="5"/>
    </i>
    <i r="1">
      <x v="13"/>
      <x v="5"/>
    </i>
    <i r="1">
      <x v="4"/>
      <x v="5"/>
    </i>
    <i>
      <x v="31"/>
      <x/>
      <x v="7"/>
    </i>
    <i>
      <x v="34"/>
      <x v="9"/>
      <x v="23"/>
    </i>
    <i>
      <x v="7"/>
      <x v="8"/>
      <x v="12"/>
    </i>
    <i>
      <x v="2"/>
      <x v="14"/>
      <x v="18"/>
    </i>
    <i>
      <x v="38"/>
      <x v="6"/>
      <x v="22"/>
    </i>
    <i>
      <x v="40"/>
      <x/>
      <x v="13"/>
    </i>
    <i>
      <x v="39"/>
      <x/>
      <x v="21"/>
    </i>
    <i t="grand">
      <x/>
    </i>
  </rowItems>
  <colFields count="1">
    <field x="5"/>
  </colFields>
  <colItems count="9"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1">
    <pageField fld="8" hier="-1"/>
  </pageFields>
  <dataFields count="1">
    <dataField name="Count of Ação Prioritária" fld="3" subtotal="count" baseField="0" baseItem="0"/>
  </dataFields>
  <formats count="29">
    <format dxfId="35">
      <pivotArea field="1" dataOnly="0" grandCol="1" outline="0" axis="axisRow" fieldPosition="1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34">
      <pivotArea dataOnly="0" labelOnly="1" outline="0" fieldPosition="0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33">
      <pivotArea dataOnly="0" labelOnly="1" grandCol="1" outline="0" fieldPosition="0"/>
    </format>
    <format dxfId="32">
      <pivotArea dataOnly="0" labelOnly="1" outline="0" fieldPosition="0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31">
      <pivotArea dataOnly="0" labelOnly="1" grandCol="1" outline="0" fieldPosition="0"/>
    </format>
    <format dxfId="30">
      <pivotArea dataOnly="0" labelOnly="1" outline="0" fieldPosition="0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29">
      <pivotArea dataOnly="0" labelOnly="1" grandCol="1" outline="0" fieldPosition="0"/>
    </format>
    <format dxfId="28">
      <pivotArea outline="0" fieldPosition="0">
        <references count="2">
          <reference field="5" count="4" selected="0">
            <x v="23"/>
            <x v="24"/>
            <x v="25"/>
            <x v="26"/>
          </reference>
          <reference field="8" count="0" selected="0" defaultSubtotal="1"/>
        </references>
      </pivotArea>
    </format>
    <format dxfId="27">
      <pivotArea outline="0" fieldPosition="0">
        <references count="4">
          <reference field="1" count="14" selected="0">
            <x v="0"/>
            <x v="3"/>
            <x v="4"/>
            <x v="6"/>
            <x v="8"/>
            <x v="9"/>
            <x v="10"/>
            <x v="11"/>
            <x v="13"/>
            <x v="14"/>
            <x v="15"/>
            <x v="16"/>
            <x v="33"/>
            <x v="35"/>
          </reference>
          <reference field="5" count="3" selected="0">
            <x v="23"/>
            <x v="24"/>
            <x v="25"/>
          </reference>
          <reference field="7" count="12" selected="0">
            <x v="2"/>
            <x v="7"/>
            <x v="19"/>
            <x v="22"/>
            <x v="24"/>
            <x v="29"/>
            <x v="31"/>
            <x v="34"/>
            <x v="35"/>
            <x v="38"/>
            <x v="39"/>
            <x v="40"/>
          </reference>
          <reference field="8" count="0" selected="0"/>
        </references>
      </pivotArea>
    </format>
    <format dxfId="26">
      <pivotArea dataOnly="0" labelOnly="1" outline="0" fieldPosition="0">
        <references count="4">
          <reference field="1" count="1" selected="0">
            <x v="0"/>
          </reference>
          <reference field="6" count="1">
            <x v="1"/>
          </reference>
          <reference field="7" count="1" selected="0">
            <x v="35"/>
          </reference>
          <reference field="8" count="0" selected="0"/>
        </references>
      </pivotArea>
    </format>
    <format dxfId="25">
      <pivotArea dataOnly="0" labelOnly="1" outline="0" fieldPosition="0">
        <references count="4">
          <reference field="1" count="1" selected="0">
            <x v="15"/>
          </reference>
          <reference field="6" count="1">
            <x v="6"/>
          </reference>
          <reference field="7" count="1" selected="0">
            <x v="35"/>
          </reference>
          <reference field="8" count="0" selected="0"/>
        </references>
      </pivotArea>
    </format>
    <format dxfId="24">
      <pivotArea dataOnly="0" labelOnly="1" outline="0" fieldPosition="0">
        <references count="4">
          <reference field="1" count="1" selected="0">
            <x v="35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23">
      <pivotArea dataOnly="0" labelOnly="1" outline="0" fieldPosition="0">
        <references count="4">
          <reference field="1" count="1" selected="0">
            <x v="0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22">
      <pivotArea dataOnly="0" labelOnly="1" outline="0" fieldPosition="0">
        <references count="4">
          <reference field="1" count="1" selected="0">
            <x v="14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21">
      <pivotArea dataOnly="0" labelOnly="1" outline="0" fieldPosition="0">
        <references count="4">
          <reference field="1" count="1" selected="0">
            <x v="9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20">
      <pivotArea dataOnly="0" labelOnly="1" outline="0" fieldPosition="0">
        <references count="4">
          <reference field="1" count="1" selected="0">
            <x v="16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19">
      <pivotArea dataOnly="0" labelOnly="1" outline="0" fieldPosition="0">
        <references count="4">
          <reference field="1" count="1" selected="0">
            <x v="3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18">
      <pivotArea dataOnly="0" labelOnly="1" outline="0" fieldPosition="0">
        <references count="4">
          <reference field="1" count="1" selected="0">
            <x v="11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17">
      <pivotArea dataOnly="0" labelOnly="1" outline="0" fieldPosition="0">
        <references count="4">
          <reference field="1" count="1" selected="0">
            <x v="10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16">
      <pivotArea dataOnly="0" labelOnly="1" outline="0" fieldPosition="0">
        <references count="4">
          <reference field="1" count="1" selected="0">
            <x v="35"/>
          </reference>
          <reference field="6" count="1">
            <x v="11"/>
          </reference>
          <reference field="7" count="1" selected="0">
            <x v="29"/>
          </reference>
          <reference field="8" count="0" selected="0"/>
        </references>
      </pivotArea>
    </format>
    <format dxfId="15">
      <pivotArea dataOnly="0" labelOnly="1" outline="0" fieldPosition="0">
        <references count="4">
          <reference field="1" count="1" selected="0">
            <x v="4"/>
          </reference>
          <reference field="6" count="1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14">
      <pivotArea dataOnly="0" labelOnly="1" outline="0" fieldPosition="0">
        <references count="4">
          <reference field="1" count="1" selected="0">
            <x v="0"/>
          </reference>
          <reference field="6" count="1">
            <x v="7"/>
          </reference>
          <reference field="7" count="1" selected="0">
            <x v="31"/>
          </reference>
          <reference field="8" count="0" selected="0"/>
        </references>
      </pivotArea>
    </format>
    <format dxfId="13">
      <pivotArea dataOnly="0" labelOnly="1" outline="0" fieldPosition="0">
        <references count="4">
          <reference field="1" count="1" selected="0">
            <x v="9"/>
          </reference>
          <reference field="6" count="1">
            <x v="23"/>
          </reference>
          <reference field="7" count="1" selected="0">
            <x v="34"/>
          </reference>
          <reference field="8" count="0" selected="0"/>
        </references>
      </pivotArea>
    </format>
    <format dxfId="12">
      <pivotArea dataOnly="0" labelOnly="1" outline="0" fieldPosition="0">
        <references count="4">
          <reference field="1" count="1" selected="0">
            <x v="8"/>
          </reference>
          <reference field="6" count="1">
            <x v="12"/>
          </reference>
          <reference field="7" count="1" selected="0">
            <x v="7"/>
          </reference>
          <reference field="8" count="0" selected="0"/>
        </references>
      </pivotArea>
    </format>
    <format dxfId="11">
      <pivotArea dataOnly="0" labelOnly="1" outline="0" fieldPosition="0">
        <references count="4">
          <reference field="1" count="1" selected="0">
            <x v="0"/>
          </reference>
          <reference field="6" count="1">
            <x v="21"/>
          </reference>
          <reference field="7" count="1" selected="0">
            <x v="39"/>
          </reference>
          <reference field="8" count="0" selected="0"/>
        </references>
      </pivotArea>
    </format>
    <format dxfId="10">
      <pivotArea outline="0" fieldPosition="0">
        <references count="5">
          <reference field="1" count="2" selected="0">
            <x v="0"/>
            <x v="13"/>
          </reference>
          <reference field="5" count="1" selected="0">
            <x v="26"/>
          </reference>
          <reference field="6" count="1" selected="0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9">
      <pivotArea dataOnly="0" labelOnly="1" outline="0" fieldPosition="0">
        <references count="4">
          <reference field="1" count="1" selected="0">
            <x v="0"/>
          </reference>
          <reference field="6" count="1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8">
      <pivotArea dataOnly="0" labelOnly="1" outline="0" fieldPosition="0">
        <references count="4">
          <reference field="1" count="1" selected="0">
            <x v="13"/>
          </reference>
          <reference field="6" count="1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7">
      <pivotArea field="5" grandRow="1" outline="0" axis="axisCol" fieldPosition="0">
        <references count="1">
          <reference field="5" count="4" selected="0">
            <x v="23"/>
            <x v="24"/>
            <x v="25"/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9C892-3801-C44D-9A1B-1EB3187B1EAF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9:L66" firstHeaderRow="1" firstDataRow="2" firstDataCol="3" rowPageCount="1" colPageCount="1"/>
  <pivotFields count="9">
    <pivotField compact="0" outline="0" showAll="0"/>
    <pivotField axis="axisRow" compact="0" outline="0" showAll="0" sortType="descending" defaultSubtotal="0">
      <items count="36">
        <item x="11"/>
        <item m="1" x="34"/>
        <item x="20"/>
        <item x="24"/>
        <item x="17"/>
        <item x="12"/>
        <item x="15"/>
        <item x="13"/>
        <item x="31"/>
        <item x="25"/>
        <item x="30"/>
        <item x="27"/>
        <item x="29"/>
        <item x="1"/>
        <item x="16"/>
        <item x="28"/>
        <item x="10"/>
        <item x="33"/>
        <item x="8"/>
        <item x="19"/>
        <item x="32"/>
        <item x="14"/>
        <item x="4"/>
        <item m="1" x="35"/>
        <item x="21"/>
        <item x="22"/>
        <item x="3"/>
        <item x="23"/>
        <item x="26"/>
        <item x="7"/>
        <item x="6"/>
        <item x="18"/>
        <item x="2"/>
        <item x="5"/>
        <item x="9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axis="axisCol" compact="0" outline="0" multipleItemSelectionAllowed="1" showAll="0">
      <items count="43">
        <item x="30"/>
        <item m="1" x="38"/>
        <item m="1" x="36"/>
        <item m="1" x="40"/>
        <item x="23"/>
        <item m="1" x="39"/>
        <item m="1" x="37"/>
        <item x="24"/>
        <item x="27"/>
        <item m="1" x="35"/>
        <item x="26"/>
        <item m="1" x="34"/>
        <item x="31"/>
        <item h="1" x="17"/>
        <item x="10"/>
        <item x="18"/>
        <item x="29"/>
        <item x="5"/>
        <item x="28"/>
        <item x="11"/>
        <item x="14"/>
        <item x="19"/>
        <item x="22"/>
        <item x="20"/>
        <item x="0"/>
        <item x="6"/>
        <item x="13"/>
        <item x="25"/>
        <item x="15"/>
        <item x="21"/>
        <item x="3"/>
        <item h="1" x="16"/>
        <item h="1" x="4"/>
        <item h="1" x="1"/>
        <item h="1" m="1" x="41"/>
        <item h="1" x="12"/>
        <item h="1" x="9"/>
        <item h="1" x="7"/>
        <item h="1" x="8"/>
        <item h="1" x="2"/>
        <item h="1" x="33"/>
        <item h="1" x="32"/>
        <item t="default"/>
      </items>
    </pivotField>
    <pivotField axis="axisRow" compact="0" outline="0" showAll="0" defaultSubtotal="0">
      <items count="31">
        <item x="21"/>
        <item m="1" x="30"/>
        <item x="6"/>
        <item x="18"/>
        <item x="3"/>
        <item x="2"/>
        <item x="7"/>
        <item x="9"/>
        <item x="19"/>
        <item x="22"/>
        <item x="5"/>
        <item x="1"/>
        <item x="23"/>
        <item x="8"/>
        <item x="20"/>
        <item x="10"/>
        <item x="14"/>
        <item x="17"/>
        <item x="13"/>
        <item x="16"/>
        <item x="25"/>
        <item x="24"/>
        <item x="26"/>
        <item x="28"/>
        <item x="4"/>
        <item x="0"/>
        <item x="12"/>
        <item x="27"/>
        <item x="11"/>
        <item x="15"/>
        <item x="29"/>
      </items>
    </pivotField>
    <pivotField axis="axisRow" compact="0" outline="0" showAll="0" sortType="descending" defaultSubtotal="0">
      <items count="43">
        <item x="24"/>
        <item x="19"/>
        <item x="9"/>
        <item m="1" x="40"/>
        <item m="1" x="38"/>
        <item m="1" x="41"/>
        <item m="1" x="39"/>
        <item x="20"/>
        <item m="1" x="32"/>
        <item m="1" x="31"/>
        <item m="1" x="30"/>
        <item m="1" x="33"/>
        <item m="1" x="28"/>
        <item m="1" x="34"/>
        <item m="1" x="29"/>
        <item x="21"/>
        <item m="1" x="37"/>
        <item m="1" x="27"/>
        <item m="1" x="25"/>
        <item x="0"/>
        <item x="22"/>
        <item m="1" x="36"/>
        <item x="2"/>
        <item x="11"/>
        <item x="3"/>
        <item x="15"/>
        <item x="8"/>
        <item m="1" x="26"/>
        <item m="1" x="35"/>
        <item x="1"/>
        <item x="10"/>
        <item x="6"/>
        <item x="14"/>
        <item x="13"/>
        <item x="23"/>
        <item x="4"/>
        <item x="16"/>
        <item x="12"/>
        <item x="7"/>
        <item x="18"/>
        <item x="5"/>
        <item m="1" x="42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7">
        <item h="1" sd="0" x="1"/>
        <item x="0"/>
        <item h="1" x="5"/>
        <item h="1" x="3"/>
        <item h="1" x="2"/>
        <item h="1" x="4"/>
        <item t="default"/>
      </items>
    </pivotField>
  </pivotFields>
  <rowFields count="3">
    <field x="6"/>
    <field x="7"/>
    <field x="1"/>
  </rowFields>
  <rowItems count="26">
    <i>
      <x v="2"/>
      <x v="24"/>
      <x/>
    </i>
    <i>
      <x v="4"/>
      <x v="29"/>
      <x v="33"/>
    </i>
    <i>
      <x v="5"/>
      <x v="22"/>
      <x/>
    </i>
    <i r="2">
      <x v="13"/>
    </i>
    <i r="2">
      <x v="4"/>
    </i>
    <i>
      <x v="6"/>
      <x v="35"/>
      <x/>
    </i>
    <i r="2">
      <x v="15"/>
    </i>
    <i>
      <x v="7"/>
      <x v="31"/>
      <x/>
    </i>
    <i>
      <x v="11"/>
      <x v="29"/>
      <x v="35"/>
    </i>
    <i>
      <x v="12"/>
      <x v="7"/>
      <x v="8"/>
    </i>
    <i>
      <x v="13"/>
      <x v="40"/>
      <x/>
    </i>
    <i>
      <x v="15"/>
      <x v="24"/>
      <x/>
    </i>
    <i>
      <x v="18"/>
      <x v="2"/>
      <x v="14"/>
    </i>
    <i>
      <x v="21"/>
      <x v="39"/>
      <x/>
    </i>
    <i>
      <x v="22"/>
      <x v="38"/>
      <x v="6"/>
    </i>
    <i>
      <x v="23"/>
      <x v="34"/>
      <x v="9"/>
    </i>
    <i>
      <x v="24"/>
      <x v="29"/>
      <x v="33"/>
    </i>
    <i>
      <x v="25"/>
      <x v="19"/>
      <x v="35"/>
    </i>
    <i r="2">
      <x/>
    </i>
    <i r="2">
      <x v="14"/>
    </i>
    <i r="2">
      <x v="9"/>
    </i>
    <i r="2">
      <x v="16"/>
    </i>
    <i r="2">
      <x v="3"/>
    </i>
    <i r="2">
      <x v="11"/>
    </i>
    <i r="2">
      <x v="10"/>
    </i>
    <i t="grand">
      <x/>
    </i>
  </rowItems>
  <colFields count="1">
    <field x="5"/>
  </colFields>
  <colItems count="9"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1">
    <pageField fld="8" hier="-1"/>
  </pageFields>
  <dataFields count="1">
    <dataField name="Count of Ação Prioritária" fld="3" subtotal="count" baseField="0" baseItem="0"/>
  </dataFields>
  <formats count="69">
    <format dxfId="97">
      <pivotArea field="1" dataOnly="0" grandCol="1" outline="0" axis="axisRow" fieldPosition="2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96">
      <pivotArea dataOnly="0" labelOnly="1" outline="0" fieldPosition="0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95">
      <pivotArea dataOnly="0" labelOnly="1" grandCol="1" outline="0" fieldPosition="0"/>
    </format>
    <format dxfId="94">
      <pivotArea dataOnly="0" labelOnly="1" outline="0" fieldPosition="0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93">
      <pivotArea dataOnly="0" labelOnly="1" grandCol="1" outline="0" fieldPosition="0"/>
    </format>
    <format dxfId="92">
      <pivotArea dataOnly="0" labelOnly="1" outline="0" fieldPosition="0">
        <references count="1">
          <reference field="1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</reference>
        </references>
      </pivotArea>
    </format>
    <format dxfId="91">
      <pivotArea dataOnly="0" labelOnly="1" grandCol="1" outline="0" fieldPosition="0"/>
    </format>
    <format dxfId="90">
      <pivotArea outline="0" fieldPosition="0">
        <references count="2">
          <reference field="5" count="4" selected="0">
            <x v="23"/>
            <x v="24"/>
            <x v="25"/>
            <x v="26"/>
          </reference>
          <reference field="8" count="0" selected="0" defaultSubtotal="1"/>
        </references>
      </pivotArea>
    </format>
    <format dxfId="89">
      <pivotArea outline="0" fieldPosition="0">
        <references count="4">
          <reference field="1" count="14" selected="0">
            <x v="0"/>
            <x v="3"/>
            <x v="4"/>
            <x v="6"/>
            <x v="8"/>
            <x v="9"/>
            <x v="10"/>
            <x v="11"/>
            <x v="13"/>
            <x v="14"/>
            <x v="15"/>
            <x v="16"/>
            <x v="33"/>
            <x v="35"/>
          </reference>
          <reference field="5" count="3" selected="0">
            <x v="23"/>
            <x v="24"/>
            <x v="25"/>
          </reference>
          <reference field="7" count="12" selected="0">
            <x v="2"/>
            <x v="7"/>
            <x v="19"/>
            <x v="22"/>
            <x v="24"/>
            <x v="29"/>
            <x v="31"/>
            <x v="34"/>
            <x v="35"/>
            <x v="38"/>
            <x v="39"/>
            <x v="40"/>
          </reference>
          <reference field="8" count="0" selected="0"/>
        </references>
      </pivotArea>
    </format>
    <format dxfId="88">
      <pivotArea dataOnly="0" labelOnly="1" outline="0" fieldPosition="0">
        <references count="4">
          <reference field="1" count="1" selected="0">
            <x v="0"/>
          </reference>
          <reference field="6" count="1">
            <x v="1"/>
          </reference>
          <reference field="7" count="1" selected="0">
            <x v="35"/>
          </reference>
          <reference field="8" count="0" selected="0"/>
        </references>
      </pivotArea>
    </format>
    <format dxfId="87">
      <pivotArea dataOnly="0" labelOnly="1" outline="0" fieldPosition="0">
        <references count="4">
          <reference field="1" count="1" selected="0">
            <x v="15"/>
          </reference>
          <reference field="6" count="1">
            <x v="6"/>
          </reference>
          <reference field="7" count="1" selected="0">
            <x v="35"/>
          </reference>
          <reference field="8" count="0" selected="0"/>
        </references>
      </pivotArea>
    </format>
    <format dxfId="86">
      <pivotArea dataOnly="0" labelOnly="1" outline="0" fieldPosition="0">
        <references count="4">
          <reference field="1" count="1" selected="0">
            <x v="35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85">
      <pivotArea dataOnly="0" labelOnly="1" outline="0" fieldPosition="0">
        <references count="4">
          <reference field="1" count="1" selected="0">
            <x v="0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84">
      <pivotArea dataOnly="0" labelOnly="1" outline="0" fieldPosition="0">
        <references count="4">
          <reference field="1" count="1" selected="0">
            <x v="14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83">
      <pivotArea dataOnly="0" labelOnly="1" outline="0" fieldPosition="0">
        <references count="4">
          <reference field="1" count="1" selected="0">
            <x v="9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82">
      <pivotArea dataOnly="0" labelOnly="1" outline="0" fieldPosition="0">
        <references count="4">
          <reference field="1" count="1" selected="0">
            <x v="16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81">
      <pivotArea dataOnly="0" labelOnly="1" outline="0" fieldPosition="0">
        <references count="4">
          <reference field="1" count="1" selected="0">
            <x v="3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80">
      <pivotArea dataOnly="0" labelOnly="1" outline="0" fieldPosition="0">
        <references count="4">
          <reference field="1" count="1" selected="0">
            <x v="11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79">
      <pivotArea dataOnly="0" labelOnly="1" outline="0" fieldPosition="0">
        <references count="4">
          <reference field="1" count="1" selected="0">
            <x v="10"/>
          </reference>
          <reference field="6" count="1">
            <x v="25"/>
          </reference>
          <reference field="7" count="1" selected="0">
            <x v="19"/>
          </reference>
          <reference field="8" count="0" selected="0"/>
        </references>
      </pivotArea>
    </format>
    <format dxfId="78">
      <pivotArea dataOnly="0" labelOnly="1" outline="0" fieldPosition="0">
        <references count="4">
          <reference field="1" count="1" selected="0">
            <x v="35"/>
          </reference>
          <reference field="6" count="1">
            <x v="11"/>
          </reference>
          <reference field="7" count="1" selected="0">
            <x v="29"/>
          </reference>
          <reference field="8" count="0" selected="0"/>
        </references>
      </pivotArea>
    </format>
    <format dxfId="77">
      <pivotArea dataOnly="0" labelOnly="1" outline="0" fieldPosition="0">
        <references count="4">
          <reference field="1" count="1" selected="0">
            <x v="4"/>
          </reference>
          <reference field="6" count="1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76">
      <pivotArea dataOnly="0" labelOnly="1" outline="0" fieldPosition="0">
        <references count="4">
          <reference field="1" count="1" selected="0">
            <x v="0"/>
          </reference>
          <reference field="6" count="1">
            <x v="7"/>
          </reference>
          <reference field="7" count="1" selected="0">
            <x v="31"/>
          </reference>
          <reference field="8" count="0" selected="0"/>
        </references>
      </pivotArea>
    </format>
    <format dxfId="75">
      <pivotArea dataOnly="0" labelOnly="1" outline="0" fieldPosition="0">
        <references count="4">
          <reference field="1" count="1" selected="0">
            <x v="9"/>
          </reference>
          <reference field="6" count="1">
            <x v="23"/>
          </reference>
          <reference field="7" count="1" selected="0">
            <x v="34"/>
          </reference>
          <reference field="8" count="0" selected="0"/>
        </references>
      </pivotArea>
    </format>
    <format dxfId="74">
      <pivotArea dataOnly="0" labelOnly="1" outline="0" fieldPosition="0">
        <references count="4">
          <reference field="1" count="1" selected="0">
            <x v="8"/>
          </reference>
          <reference field="6" count="1">
            <x v="12"/>
          </reference>
          <reference field="7" count="1" selected="0">
            <x v="7"/>
          </reference>
          <reference field="8" count="0" selected="0"/>
        </references>
      </pivotArea>
    </format>
    <format dxfId="73">
      <pivotArea dataOnly="0" labelOnly="1" outline="0" fieldPosition="0">
        <references count="4">
          <reference field="1" count="1" selected="0">
            <x v="0"/>
          </reference>
          <reference field="6" count="1">
            <x v="21"/>
          </reference>
          <reference field="7" count="1" selected="0">
            <x v="39"/>
          </reference>
          <reference field="8" count="0" selected="0"/>
        </references>
      </pivotArea>
    </format>
    <format dxfId="72">
      <pivotArea outline="0" fieldPosition="0">
        <references count="5">
          <reference field="1" count="2" selected="0">
            <x v="0"/>
            <x v="13"/>
          </reference>
          <reference field="5" count="1" selected="0">
            <x v="26"/>
          </reference>
          <reference field="6" count="1" selected="0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71">
      <pivotArea dataOnly="0" labelOnly="1" outline="0" fieldPosition="0">
        <references count="4">
          <reference field="1" count="1" selected="0">
            <x v="0"/>
          </reference>
          <reference field="6" count="1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70">
      <pivotArea dataOnly="0" labelOnly="1" outline="0" fieldPosition="0">
        <references count="4">
          <reference field="1" count="1" selected="0">
            <x v="13"/>
          </reference>
          <reference field="6" count="1">
            <x v="5"/>
          </reference>
          <reference field="7" count="1" selected="0">
            <x v="22"/>
          </reference>
          <reference field="8" count="0" selected="0"/>
        </references>
      </pivotArea>
    </format>
    <format dxfId="69">
      <pivotArea field="5" grandRow="1" outline="0" axis="axisCol" fieldPosition="0">
        <references count="1">
          <reference field="5" count="4" selected="0">
            <x v="23"/>
            <x v="24"/>
            <x v="25"/>
            <x v="26"/>
          </reference>
        </references>
      </pivotArea>
    </format>
    <format dxfId="68">
      <pivotArea outline="0" fieldPosition="0">
        <references count="4">
          <reference field="1" count="14" selected="0">
            <x v="0"/>
            <x v="3"/>
            <x v="4"/>
            <x v="6"/>
            <x v="8"/>
            <x v="9"/>
            <x v="10"/>
            <x v="11"/>
            <x v="13"/>
            <x v="14"/>
            <x v="15"/>
            <x v="16"/>
            <x v="33"/>
            <x v="35"/>
          </reference>
          <reference field="5" count="4" selected="0">
            <x v="23"/>
            <x v="24"/>
            <x v="25"/>
            <x v="26"/>
          </reference>
          <reference field="6" count="16" selected="0">
            <x v="1"/>
            <x v="2"/>
            <x v="4"/>
            <x v="5"/>
            <x v="6"/>
            <x v="7"/>
            <x v="11"/>
            <x v="12"/>
            <x v="13"/>
            <x v="15"/>
            <x v="18"/>
            <x v="21"/>
            <x v="22"/>
            <x v="23"/>
            <x v="24"/>
            <x v="25"/>
          </reference>
          <reference field="7" count="12" selected="0">
            <x v="2"/>
            <x v="7"/>
            <x v="19"/>
            <x v="22"/>
            <x v="24"/>
            <x v="29"/>
            <x v="31"/>
            <x v="34"/>
            <x v="35"/>
            <x v="38"/>
            <x v="39"/>
            <x v="40"/>
          </reference>
        </references>
      </pivotArea>
    </format>
    <format dxfId="67">
      <pivotArea dataOnly="0" labelOnly="1" outline="0" fieldPosition="0">
        <references count="1">
          <reference field="6" count="1">
            <x v="1"/>
          </reference>
        </references>
      </pivotArea>
    </format>
    <format dxfId="66">
      <pivotArea dataOnly="0" labelOnly="1" outline="0" fieldPosition="0">
        <references count="2">
          <reference field="6" count="1" selected="0">
            <x v="1"/>
          </reference>
          <reference field="7" count="1">
            <x v="35"/>
          </reference>
        </references>
      </pivotArea>
    </format>
    <format dxfId="65">
      <pivotArea dataOnly="0" labelOnly="1" outline="0" fieldPosition="0">
        <references count="3">
          <reference field="1" count="1">
            <x v="0"/>
          </reference>
          <reference field="6" count="1" selected="0">
            <x v="1"/>
          </reference>
          <reference field="7" count="1" selected="0">
            <x v="35"/>
          </reference>
        </references>
      </pivotArea>
    </format>
    <format dxfId="64">
      <pivotArea dataOnly="0" labelOnly="1" outline="0" offset="IV1" fieldPosition="0">
        <references count="1">
          <reference field="6" count="1">
            <x v="5"/>
          </reference>
        </references>
      </pivotArea>
    </format>
    <format dxfId="63">
      <pivotArea dataOnly="0" labelOnly="1" outline="0" offset="IV1" fieldPosition="0">
        <references count="2">
          <reference field="6" count="1" selected="0">
            <x v="5"/>
          </reference>
          <reference field="7" count="1">
            <x v="22"/>
          </reference>
        </references>
      </pivotArea>
    </format>
    <format dxfId="62">
      <pivotArea dataOnly="0" labelOnly="1" outline="0" fieldPosition="0">
        <references count="1">
          <reference field="6" count="1">
            <x v="5"/>
          </reference>
        </references>
      </pivotArea>
    </format>
    <format dxfId="61">
      <pivotArea dataOnly="0" labelOnly="1" outline="0" fieldPosition="0">
        <references count="2">
          <reference field="6" count="1" selected="0">
            <x v="5"/>
          </reference>
          <reference field="7" count="1">
            <x v="22"/>
          </reference>
        </references>
      </pivotArea>
    </format>
    <format dxfId="60">
      <pivotArea dataOnly="0" labelOnly="1" outline="0" fieldPosition="0">
        <references count="3">
          <reference field="1" count="3">
            <x v="0"/>
            <x v="4"/>
            <x v="13"/>
          </reference>
          <reference field="6" count="1" selected="0">
            <x v="5"/>
          </reference>
          <reference field="7" count="1" selected="0">
            <x v="22"/>
          </reference>
        </references>
      </pivotArea>
    </format>
    <format dxfId="59">
      <pivotArea dataOnly="0" labelOnly="1" outline="0" fieldPosition="0">
        <references count="1">
          <reference field="6" count="1">
            <x v="6"/>
          </reference>
        </references>
      </pivotArea>
    </format>
    <format dxfId="58">
      <pivotArea dataOnly="0" labelOnly="1" outline="0" fieldPosition="0">
        <references count="2">
          <reference field="6" count="1" selected="0">
            <x v="6"/>
          </reference>
          <reference field="7" count="1">
            <x v="35"/>
          </reference>
        </references>
      </pivotArea>
    </format>
    <format dxfId="57">
      <pivotArea dataOnly="0" labelOnly="1" outline="0" fieldPosition="0">
        <references count="3">
          <reference field="1" count="2">
            <x v="0"/>
            <x v="15"/>
          </reference>
          <reference field="6" count="1" selected="0">
            <x v="6"/>
          </reference>
          <reference field="7" count="1" selected="0">
            <x v="35"/>
          </reference>
        </references>
      </pivotArea>
    </format>
    <format dxfId="56">
      <pivotArea dataOnly="0" labelOnly="1" outline="0" fieldPosition="0">
        <references count="1">
          <reference field="6" count="3">
            <x v="7"/>
            <x v="11"/>
            <x v="12"/>
          </reference>
        </references>
      </pivotArea>
    </format>
    <format dxfId="55">
      <pivotArea dataOnly="0" labelOnly="1" outline="0" fieldPosition="0">
        <references count="2">
          <reference field="6" count="1" selected="0">
            <x v="7"/>
          </reference>
          <reference field="7" count="1">
            <x v="31"/>
          </reference>
        </references>
      </pivotArea>
    </format>
    <format dxfId="54">
      <pivotArea dataOnly="0" labelOnly="1" outline="0" fieldPosition="0">
        <references count="2">
          <reference field="6" count="1" selected="0">
            <x v="11"/>
          </reference>
          <reference field="7" count="1">
            <x v="29"/>
          </reference>
        </references>
      </pivotArea>
    </format>
    <format dxfId="53">
      <pivotArea dataOnly="0" labelOnly="1" outline="0" fieldPosition="0">
        <references count="2">
          <reference field="6" count="1" selected="0">
            <x v="12"/>
          </reference>
          <reference field="7" count="1">
            <x v="7"/>
          </reference>
        </references>
      </pivotArea>
    </format>
    <format dxfId="52">
      <pivotArea dataOnly="0" labelOnly="1" outline="0" fieldPosition="0">
        <references count="3">
          <reference field="1" count="1">
            <x v="0"/>
          </reference>
          <reference field="6" count="1" selected="0">
            <x v="7"/>
          </reference>
          <reference field="7" count="1" selected="0">
            <x v="31"/>
          </reference>
        </references>
      </pivotArea>
    </format>
    <format dxfId="51">
      <pivotArea dataOnly="0" labelOnly="1" outline="0" fieldPosition="0">
        <references count="3">
          <reference field="1" count="1">
            <x v="35"/>
          </reference>
          <reference field="6" count="1" selected="0">
            <x v="11"/>
          </reference>
          <reference field="7" count="1" selected="0">
            <x v="29"/>
          </reference>
        </references>
      </pivotArea>
    </format>
    <format dxfId="50">
      <pivotArea dataOnly="0" labelOnly="1" outline="0" fieldPosition="0">
        <references count="3">
          <reference field="1" count="1">
            <x v="8"/>
          </reference>
          <reference field="6" count="1" selected="0">
            <x v="12"/>
          </reference>
          <reference field="7" count="1" selected="0">
            <x v="7"/>
          </reference>
        </references>
      </pivotArea>
    </format>
    <format dxfId="49">
      <pivotArea dataOnly="0" labelOnly="1" outline="0" offset="IV256" fieldPosition="0">
        <references count="1">
          <reference field="6" count="1">
            <x v="6"/>
          </reference>
        </references>
      </pivotArea>
    </format>
    <format dxfId="48">
      <pivotArea dataOnly="0" labelOnly="1" outline="0" offset="IV2:IV256" fieldPosition="0">
        <references count="1">
          <reference field="6" count="1">
            <x v="5"/>
          </reference>
        </references>
      </pivotArea>
    </format>
    <format dxfId="47">
      <pivotArea dataOnly="0" labelOnly="1" outline="0" offset="IV256" fieldPosition="0">
        <references count="2">
          <reference field="6" count="1" selected="0">
            <x v="6"/>
          </reference>
          <reference field="7" count="1">
            <x v="35"/>
          </reference>
        </references>
      </pivotArea>
    </format>
    <format dxfId="46">
      <pivotArea dataOnly="0" labelOnly="1" outline="0" offset="IV2:IV256" fieldPosition="0">
        <references count="2">
          <reference field="6" count="1" selected="0">
            <x v="5"/>
          </reference>
          <reference field="7" count="1">
            <x v="22"/>
          </reference>
        </references>
      </pivotArea>
    </format>
    <format dxfId="45">
      <pivotArea dataOnly="0" labelOnly="1" outline="0" fieldPosition="0">
        <references count="1">
          <reference field="6" count="1">
            <x v="21"/>
          </reference>
        </references>
      </pivotArea>
    </format>
    <format dxfId="44">
      <pivotArea dataOnly="0" labelOnly="1" outline="0" fieldPosition="0">
        <references count="2">
          <reference field="6" count="1" selected="0">
            <x v="21"/>
          </reference>
          <reference field="7" count="1">
            <x v="39"/>
          </reference>
        </references>
      </pivotArea>
    </format>
    <format dxfId="43">
      <pivotArea dataOnly="0" labelOnly="1" outline="0" fieldPosition="0">
        <references count="3">
          <reference field="1" count="1">
            <x v="0"/>
          </reference>
          <reference field="6" count="1" selected="0">
            <x v="21"/>
          </reference>
          <reference field="7" count="1" selected="0">
            <x v="39"/>
          </reference>
        </references>
      </pivotArea>
    </format>
    <format dxfId="42">
      <pivotArea dataOnly="0" labelOnly="1" outline="0" fieldPosition="0">
        <references count="1">
          <reference field="6" count="1">
            <x v="23"/>
          </reference>
        </references>
      </pivotArea>
    </format>
    <format dxfId="41">
      <pivotArea dataOnly="0" labelOnly="1" outline="0" fieldPosition="0">
        <references count="2">
          <reference field="6" count="1" selected="0">
            <x v="23"/>
          </reference>
          <reference field="7" count="1">
            <x v="34"/>
          </reference>
        </references>
      </pivotArea>
    </format>
    <format dxfId="40">
      <pivotArea dataOnly="0" labelOnly="1" outline="0" fieldPosition="0">
        <references count="3">
          <reference field="1" count="1">
            <x v="9"/>
          </reference>
          <reference field="6" count="1" selected="0">
            <x v="23"/>
          </reference>
          <reference field="7" count="1" selected="0">
            <x v="34"/>
          </reference>
        </references>
      </pivotArea>
    </format>
    <format dxfId="39">
      <pivotArea dataOnly="0" labelOnly="1" outline="0" offset="IV1" fieldPosition="0">
        <references count="1">
          <reference field="6" count="1">
            <x v="25"/>
          </reference>
        </references>
      </pivotArea>
    </format>
    <format dxfId="38">
      <pivotArea dataOnly="0" labelOnly="1" outline="0" offset="IV1" fieldPosition="0">
        <references count="2">
          <reference field="6" count="1" selected="0">
            <x v="25"/>
          </reference>
          <reference field="7" count="1">
            <x v="19"/>
          </reference>
        </references>
      </pivotArea>
    </format>
    <format dxfId="37">
      <pivotArea dataOnly="0" labelOnly="1" outline="0" fieldPosition="0">
        <references count="3">
          <reference field="1" count="1">
            <x v="35"/>
          </reference>
          <reference field="6" count="1" selected="0">
            <x v="25"/>
          </reference>
          <reference field="7" count="1" selected="0">
            <x v="19"/>
          </reference>
        </references>
      </pivotArea>
    </format>
    <format dxfId="36">
      <pivotArea dataOnly="0" labelOnly="1" outline="0" fieldPosition="0">
        <references count="3">
          <reference field="1" count="7">
            <x v="0"/>
            <x v="3"/>
            <x v="9"/>
            <x v="10"/>
            <x v="11"/>
            <x v="14"/>
            <x v="16"/>
          </reference>
          <reference field="6" count="1" selected="0">
            <x v="25"/>
          </reference>
          <reference field="7" count="1" selected="0">
            <x v="19"/>
          </reference>
        </references>
      </pivotArea>
    </format>
    <format dxfId="6">
      <pivotArea outline="0" fieldPosition="0">
        <references count="4">
          <reference field="1" count="2" selected="0">
            <x v="0"/>
            <x v="33"/>
          </reference>
          <reference field="5" count="4" selected="0">
            <x v="23"/>
            <x v="24"/>
            <x v="25"/>
            <x v="26"/>
          </reference>
          <reference field="6" count="2" selected="0">
            <x v="2"/>
            <x v="4"/>
          </reference>
          <reference field="7" count="2" selected="0">
            <x v="24"/>
            <x v="29"/>
          </reference>
        </references>
      </pivotArea>
    </format>
    <format dxfId="5">
      <pivotArea outline="0" fieldPosition="0">
        <references count="4">
          <reference field="1" count="2" selected="0">
            <x v="0"/>
            <x v="14"/>
          </reference>
          <reference field="5" count="4" selected="0">
            <x v="23"/>
            <x v="24"/>
            <x v="25"/>
            <x v="26"/>
          </reference>
          <reference field="6" count="3" selected="0">
            <x v="13"/>
            <x v="15"/>
            <x v="18"/>
          </reference>
          <reference field="7" count="3" selected="0">
            <x v="2"/>
            <x v="24"/>
            <x v="40"/>
          </reference>
        </references>
      </pivotArea>
    </format>
    <format dxfId="4">
      <pivotArea outline="0" fieldPosition="0">
        <references count="4">
          <reference field="1" count="1" selected="0">
            <x v="11"/>
          </reference>
          <reference field="5" count="7" selected="0">
            <x v="23"/>
            <x v="24"/>
            <x v="25"/>
            <x v="26"/>
            <x v="27"/>
            <x v="28"/>
            <x v="29"/>
          </reference>
          <reference field="6" count="1" selected="0">
            <x v="25"/>
          </reference>
          <reference field="7" count="1" selected="0">
            <x v="19"/>
          </reference>
        </references>
      </pivotArea>
    </format>
    <format dxfId="3">
      <pivotArea dataOnly="0" labelOnly="1" outline="0" fieldPosition="0">
        <references count="3">
          <reference field="1" count="1">
            <x v="11"/>
          </reference>
          <reference field="6" count="1" selected="0">
            <x v="25"/>
          </reference>
          <reference field="7" count="1" selected="0">
            <x v="19"/>
          </reference>
        </references>
      </pivotArea>
    </format>
    <format dxfId="2">
      <pivotArea outline="0" fieldPosition="0">
        <references count="4">
          <reference field="1" count="1" selected="0">
            <x v="6"/>
          </reference>
          <reference field="5" count="4" selected="0">
            <x v="23"/>
            <x v="24"/>
            <x v="25"/>
            <x v="26"/>
          </reference>
          <reference field="6" count="1" selected="0">
            <x v="22"/>
          </reference>
          <reference field="7" count="1" selected="0">
            <x v="38"/>
          </reference>
        </references>
      </pivotArea>
    </format>
    <format dxfId="1">
      <pivotArea dataOnly="0" labelOnly="1" outline="0" fieldPosition="0">
        <references count="3">
          <reference field="1" count="1">
            <x v="6"/>
          </reference>
          <reference field="6" count="1" selected="0">
            <x v="22"/>
          </reference>
          <reference field="7" count="1" selected="0">
            <x v="38"/>
          </reference>
        </references>
      </pivotArea>
    </format>
    <format dxfId="0">
      <pivotArea outline="0" fieldPosition="0">
        <references count="4">
          <reference field="1" count="1" selected="0">
            <x v="33"/>
          </reference>
          <reference field="5" count="4" selected="0">
            <x v="23"/>
            <x v="24"/>
            <x v="25"/>
            <x v="26"/>
          </reference>
          <reference field="6" count="1" selected="0">
            <x v="24"/>
          </reference>
          <reference field="7" count="1" selected="0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62191-F758-C842-94A8-4775C2600086}" name="Table1" displayName="Table1" ref="A1:I8" totalsRowShown="0">
  <autoFilter ref="A1:I8" xr:uid="{04662191-F758-C842-94A8-4775C2600086}"/>
  <tableColumns count="9">
    <tableColumn id="1" xr3:uid="{756E7F32-0585-3F4F-955D-5E299516FCA4}" name="Fase"/>
    <tableColumn id="2" xr3:uid="{343F9FB4-BBCB-5141-95E0-1DE7204CB8D2}" name="Sistema"/>
    <tableColumn id="3" xr3:uid="{BD0C13C7-740C-DF42-8D0D-893B8BBBC76E}" name="Processo"/>
    <tableColumn id="4" xr3:uid="{D4A5E004-D672-074A-95B7-768DBB8EF53E}" name="Ação Prioritária"/>
    <tableColumn id="5" xr3:uid="{988EE799-6BCA-D542-A40E-4BD0DF62F078}" name="Ação"/>
    <tableColumn id="6" xr3:uid="{4FE53DFC-2651-AC4D-8440-A1A1619A9E17}" name="Prazo" dataDxfId="99"/>
    <tableColumn id="7" xr3:uid="{2B3338C3-973A-2641-A8AB-17EA0A096EA4}" name="Resp"/>
    <tableColumn id="8" xr3:uid="{F0D9F908-928B-314D-BF0F-F643438D8B73}" name="Área"/>
    <tableColumn id="9" xr3:uid="{215969B8-CEFA-AF44-A0EB-3A1153DFFD5F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6534D-7A44-B344-BEC0-308FF61D3C77}" name="Table2" displayName="Table2" ref="A1:I3" totalsRowShown="0">
  <autoFilter ref="A1:I3" xr:uid="{8386534D-7A44-B344-BEC0-308FF61D3C77}"/>
  <tableColumns count="9">
    <tableColumn id="1" xr3:uid="{44279BB9-73A6-034F-995B-ADBF31B0565B}" name="Fase"/>
    <tableColumn id="2" xr3:uid="{2AE3E422-08E2-3D4F-9015-4554DBE2ADFB}" name="Sistema"/>
    <tableColumn id="3" xr3:uid="{5055CCC4-3A8E-4E41-B58E-E9D209801658}" name="Processo"/>
    <tableColumn id="4" xr3:uid="{8BD9170A-494C-8B4D-9A63-85EAB84B6151}" name="Ação Prioritária"/>
    <tableColumn id="5" xr3:uid="{9554D184-860C-7F46-83B2-5C5D146633AF}" name="Ação"/>
    <tableColumn id="6" xr3:uid="{EABF4396-9045-FD46-8038-7EFB595378AE}" name="Prazo" dataDxfId="98"/>
    <tableColumn id="7" xr3:uid="{525DCA2F-1861-6B44-A39F-023AF016A590}" name="Resp"/>
    <tableColumn id="8" xr3:uid="{D45A0483-A1D8-8946-B99A-3F36EF408769}" name="Área"/>
    <tableColumn id="9" xr3:uid="{1857E5EB-D365-524F-8502-0E32C4757621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D404-8A18-A840-972A-D369598B27B1}">
  <dimension ref="A1:I8"/>
  <sheetViews>
    <sheetView zoomScale="159" workbookViewId="0">
      <selection activeCell="E5" sqref="E5"/>
    </sheetView>
  </sheetViews>
  <sheetFormatPr baseColWidth="10" defaultRowHeight="15" x14ac:dyDescent="0.2"/>
  <cols>
    <col min="3" max="3" width="18.83203125" customWidth="1"/>
    <col min="4" max="4" width="82.83203125" customWidth="1"/>
    <col min="5" max="5" width="49.6640625" customWidth="1"/>
  </cols>
  <sheetData>
    <row r="1" spans="1:9" x14ac:dyDescent="0.2">
      <c r="A1" t="s">
        <v>0</v>
      </c>
      <c r="B1" t="s">
        <v>140</v>
      </c>
      <c r="C1" t="s">
        <v>141</v>
      </c>
      <c r="D1" t="s">
        <v>4</v>
      </c>
      <c r="E1" t="s">
        <v>248</v>
      </c>
      <c r="F1" t="s">
        <v>6</v>
      </c>
      <c r="G1" t="s">
        <v>13</v>
      </c>
      <c r="H1" t="s">
        <v>194</v>
      </c>
      <c r="I1" t="s">
        <v>176</v>
      </c>
    </row>
    <row r="2" spans="1:9" x14ac:dyDescent="0.2">
      <c r="A2" t="s">
        <v>1</v>
      </c>
      <c r="B2" t="s">
        <v>2</v>
      </c>
      <c r="C2" t="s">
        <v>89</v>
      </c>
      <c r="D2" t="s">
        <v>90</v>
      </c>
      <c r="E2" t="s">
        <v>302</v>
      </c>
      <c r="F2" s="4">
        <v>45771</v>
      </c>
      <c r="G2" t="s">
        <v>175</v>
      </c>
      <c r="H2" t="s">
        <v>16</v>
      </c>
      <c r="I2" t="s">
        <v>195</v>
      </c>
    </row>
    <row r="3" spans="1:9" x14ac:dyDescent="0.2">
      <c r="A3" t="s">
        <v>1</v>
      </c>
      <c r="B3" t="s">
        <v>2</v>
      </c>
      <c r="C3" t="s">
        <v>89</v>
      </c>
      <c r="D3" t="s">
        <v>226</v>
      </c>
      <c r="E3" t="s">
        <v>302</v>
      </c>
      <c r="F3" s="4">
        <v>45771</v>
      </c>
      <c r="G3" t="s">
        <v>175</v>
      </c>
      <c r="H3" t="s">
        <v>16</v>
      </c>
      <c r="I3" t="s">
        <v>195</v>
      </c>
    </row>
    <row r="4" spans="1:9" x14ac:dyDescent="0.2">
      <c r="A4" t="s">
        <v>1</v>
      </c>
      <c r="B4" t="s">
        <v>2</v>
      </c>
      <c r="C4" t="s">
        <v>82</v>
      </c>
      <c r="D4" t="s">
        <v>83</v>
      </c>
      <c r="E4" t="s">
        <v>301</v>
      </c>
      <c r="F4" s="4">
        <v>45764</v>
      </c>
      <c r="G4" t="s">
        <v>175</v>
      </c>
      <c r="H4" t="s">
        <v>16</v>
      </c>
      <c r="I4" t="s">
        <v>195</v>
      </c>
    </row>
    <row r="5" spans="1:9" x14ac:dyDescent="0.2">
      <c r="A5" t="s">
        <v>1</v>
      </c>
      <c r="B5" t="s">
        <v>2</v>
      </c>
      <c r="C5" t="s">
        <v>76</v>
      </c>
      <c r="D5" t="s">
        <v>224</v>
      </c>
      <c r="E5" t="s">
        <v>251</v>
      </c>
      <c r="F5" s="4">
        <v>45764</v>
      </c>
      <c r="G5" t="s">
        <v>175</v>
      </c>
      <c r="H5" t="s">
        <v>16</v>
      </c>
      <c r="I5" t="s">
        <v>195</v>
      </c>
    </row>
    <row r="6" spans="1:9" x14ac:dyDescent="0.2">
      <c r="A6" t="s">
        <v>1</v>
      </c>
      <c r="B6" t="s">
        <v>2</v>
      </c>
      <c r="C6" t="s">
        <v>67</v>
      </c>
      <c r="D6" t="s">
        <v>68</v>
      </c>
      <c r="E6" t="s">
        <v>250</v>
      </c>
      <c r="F6" s="4">
        <v>45764</v>
      </c>
      <c r="G6" t="s">
        <v>247</v>
      </c>
      <c r="H6" t="s">
        <v>16</v>
      </c>
      <c r="I6" t="s">
        <v>195</v>
      </c>
    </row>
    <row r="7" spans="1:9" x14ac:dyDescent="0.2">
      <c r="A7" t="s">
        <v>1</v>
      </c>
      <c r="B7" t="s">
        <v>2</v>
      </c>
      <c r="C7" t="s">
        <v>63</v>
      </c>
      <c r="D7" t="s">
        <v>223</v>
      </c>
      <c r="E7" t="s">
        <v>249</v>
      </c>
      <c r="F7" s="4">
        <v>45764</v>
      </c>
      <c r="G7" t="s">
        <v>175</v>
      </c>
      <c r="H7" t="s">
        <v>16</v>
      </c>
      <c r="I7" t="s">
        <v>195</v>
      </c>
    </row>
    <row r="8" spans="1:9" x14ac:dyDescent="0.2">
      <c r="A8" t="s">
        <v>1</v>
      </c>
      <c r="B8" t="s">
        <v>2</v>
      </c>
      <c r="C8" t="s">
        <v>63</v>
      </c>
      <c r="D8" t="s">
        <v>64</v>
      </c>
      <c r="E8" t="s">
        <v>253</v>
      </c>
      <c r="F8" s="4">
        <v>45764</v>
      </c>
      <c r="G8" t="s">
        <v>175</v>
      </c>
      <c r="H8" t="s">
        <v>16</v>
      </c>
      <c r="I8" t="s">
        <v>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DBCE-2C37-C241-8840-887770ED05A0}">
  <dimension ref="A1:I3"/>
  <sheetViews>
    <sheetView workbookViewId="0">
      <selection activeCell="E10" sqref="E10"/>
    </sheetView>
  </sheetViews>
  <sheetFormatPr baseColWidth="10" defaultRowHeight="15" x14ac:dyDescent="0.2"/>
  <cols>
    <col min="3" max="3" width="28.6640625" customWidth="1"/>
    <col min="4" max="4" width="39.5" customWidth="1"/>
    <col min="5" max="5" width="50.5" customWidth="1"/>
  </cols>
  <sheetData>
    <row r="1" spans="1:9" x14ac:dyDescent="0.2">
      <c r="A1" t="s">
        <v>0</v>
      </c>
      <c r="B1" t="s">
        <v>140</v>
      </c>
      <c r="C1" t="s">
        <v>141</v>
      </c>
      <c r="D1" t="s">
        <v>4</v>
      </c>
      <c r="E1" t="s">
        <v>248</v>
      </c>
      <c r="F1" t="s">
        <v>6</v>
      </c>
      <c r="G1" t="s">
        <v>13</v>
      </c>
      <c r="H1" t="s">
        <v>194</v>
      </c>
      <c r="I1" t="s">
        <v>176</v>
      </c>
    </row>
    <row r="2" spans="1:9" x14ac:dyDescent="0.2">
      <c r="B2" t="s">
        <v>2</v>
      </c>
      <c r="C2" t="s">
        <v>63</v>
      </c>
      <c r="D2" t="s">
        <v>65</v>
      </c>
      <c r="E2" t="s">
        <v>262</v>
      </c>
      <c r="F2" s="4">
        <v>45764</v>
      </c>
      <c r="G2" t="s">
        <v>193</v>
      </c>
      <c r="H2" t="s">
        <v>3</v>
      </c>
      <c r="I2" t="s">
        <v>195</v>
      </c>
    </row>
    <row r="3" spans="1:9" ht="32" x14ac:dyDescent="0.2">
      <c r="A3" t="s">
        <v>1</v>
      </c>
      <c r="B3" t="s">
        <v>2</v>
      </c>
      <c r="C3" t="s">
        <v>63</v>
      </c>
      <c r="D3" s="1" t="s">
        <v>192</v>
      </c>
      <c r="E3" t="s">
        <v>261</v>
      </c>
      <c r="F3" s="4">
        <v>45764</v>
      </c>
      <c r="G3" t="s">
        <v>193</v>
      </c>
      <c r="H3" t="s">
        <v>3</v>
      </c>
      <c r="I3" t="s">
        <v>195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B40B-507B-1E40-98BD-2AA30411DDA7}">
  <dimension ref="A2:L66"/>
  <sheetViews>
    <sheetView showGridLines="0" tabSelected="1" topLeftCell="A21" zoomScale="130" workbookViewId="0">
      <selection activeCell="N50" sqref="N50"/>
    </sheetView>
  </sheetViews>
  <sheetFormatPr baseColWidth="10" defaultRowHeight="15" outlineLevelCol="1" x14ac:dyDescent="0.2"/>
  <cols>
    <col min="1" max="1" width="26.5" customWidth="1"/>
    <col min="2" max="2" width="16.5" bestFit="1" customWidth="1"/>
    <col min="3" max="3" width="24.5" bestFit="1" customWidth="1" outlineLevel="1"/>
    <col min="4" max="4" width="8.83203125" bestFit="1" customWidth="1" outlineLevel="1"/>
    <col min="5" max="10" width="8.83203125" customWidth="1" outlineLevel="1"/>
    <col min="11" max="11" width="8.83203125" bestFit="1" customWidth="1"/>
    <col min="12" max="12" width="5.33203125" bestFit="1" customWidth="1"/>
    <col min="13" max="13" width="9" bestFit="1" customWidth="1"/>
    <col min="14" max="16" width="11" customWidth="1"/>
    <col min="17" max="17" width="9" bestFit="1" customWidth="1"/>
    <col min="18" max="18" width="11.1640625" bestFit="1" customWidth="1"/>
    <col min="19" max="21" width="9.1640625" bestFit="1" customWidth="1"/>
    <col min="22" max="29" width="11.83203125" customWidth="1"/>
    <col min="30" max="31" width="9" bestFit="1" customWidth="1"/>
    <col min="32" max="32" width="5.83203125" bestFit="1" customWidth="1"/>
    <col min="33" max="33" width="12.5" bestFit="1" customWidth="1"/>
    <col min="34" max="34" width="8.33203125" bestFit="1" customWidth="1"/>
    <col min="35" max="35" width="12.6640625" bestFit="1" customWidth="1"/>
    <col min="36" max="36" width="17.1640625" bestFit="1" customWidth="1"/>
    <col min="37" max="37" width="6.6640625" bestFit="1" customWidth="1"/>
    <col min="38" max="38" width="6" bestFit="1" customWidth="1"/>
    <col min="39" max="39" width="10.1640625" bestFit="1" customWidth="1"/>
    <col min="40" max="40" width="12.1640625" bestFit="1" customWidth="1"/>
    <col min="41" max="41" width="14.1640625" bestFit="1" customWidth="1"/>
    <col min="42" max="42" width="25.1640625" bestFit="1" customWidth="1"/>
    <col min="43" max="43" width="6.33203125" bestFit="1" customWidth="1"/>
    <col min="44" max="44" width="10" bestFit="1" customWidth="1"/>
  </cols>
  <sheetData>
    <row r="2" spans="1:12" x14ac:dyDescent="0.2">
      <c r="A2" s="2" t="s">
        <v>176</v>
      </c>
      <c r="B2" t="s">
        <v>195</v>
      </c>
    </row>
    <row r="4" spans="1:12" x14ac:dyDescent="0.2">
      <c r="A4" s="2" t="s">
        <v>209</v>
      </c>
      <c r="D4" s="2" t="s">
        <v>6</v>
      </c>
    </row>
    <row r="5" spans="1:12" ht="30" x14ac:dyDescent="0.2">
      <c r="A5" s="2" t="s">
        <v>194</v>
      </c>
      <c r="B5" s="2" t="s">
        <v>140</v>
      </c>
      <c r="C5" s="2" t="s">
        <v>13</v>
      </c>
      <c r="D5" s="4">
        <v>45762</v>
      </c>
      <c r="E5" s="4">
        <v>45763</v>
      </c>
      <c r="F5" s="4">
        <v>45764</v>
      </c>
      <c r="G5" s="4">
        <v>45769</v>
      </c>
      <c r="H5" s="4">
        <v>45771</v>
      </c>
      <c r="I5" s="4">
        <v>45772</v>
      </c>
      <c r="J5" s="4">
        <v>45775</v>
      </c>
      <c r="K5" s="4">
        <v>45777</v>
      </c>
      <c r="L5" s="3" t="s">
        <v>208</v>
      </c>
    </row>
    <row r="6" spans="1:12" x14ac:dyDescent="0.2">
      <c r="A6" t="s">
        <v>16</v>
      </c>
      <c r="B6" t="s">
        <v>326</v>
      </c>
      <c r="C6" s="13" t="s">
        <v>175</v>
      </c>
      <c r="D6" s="13"/>
      <c r="E6" s="13">
        <v>2</v>
      </c>
      <c r="F6" s="13">
        <v>2</v>
      </c>
      <c r="K6">
        <v>3</v>
      </c>
      <c r="L6">
        <v>7</v>
      </c>
    </row>
    <row r="7" spans="1:12" x14ac:dyDescent="0.2">
      <c r="B7" s="3" t="s">
        <v>2</v>
      </c>
      <c r="C7" s="13" t="s">
        <v>175</v>
      </c>
      <c r="D7" s="13"/>
      <c r="E7" s="13"/>
      <c r="F7" s="13">
        <v>2</v>
      </c>
      <c r="H7">
        <v>2</v>
      </c>
      <c r="L7" s="1">
        <v>4</v>
      </c>
    </row>
    <row r="8" spans="1:12" x14ac:dyDescent="0.2">
      <c r="B8" s="3" t="s">
        <v>35</v>
      </c>
      <c r="C8" s="13" t="s">
        <v>175</v>
      </c>
      <c r="D8" s="13"/>
      <c r="E8" s="13"/>
      <c r="F8" s="13"/>
      <c r="K8">
        <v>1</v>
      </c>
      <c r="L8" s="1">
        <v>1</v>
      </c>
    </row>
    <row r="9" spans="1:12" x14ac:dyDescent="0.2">
      <c r="B9" s="3" t="s">
        <v>28</v>
      </c>
      <c r="C9" s="13" t="s">
        <v>175</v>
      </c>
      <c r="D9" s="13"/>
      <c r="E9" s="13"/>
      <c r="F9" s="13">
        <v>1</v>
      </c>
      <c r="L9" s="1">
        <v>1</v>
      </c>
    </row>
    <row r="10" spans="1:12" ht="30" x14ac:dyDescent="0.2">
      <c r="B10" s="3" t="s">
        <v>49</v>
      </c>
      <c r="C10" s="13" t="s">
        <v>175</v>
      </c>
      <c r="D10" s="13">
        <v>1</v>
      </c>
      <c r="E10" s="13"/>
      <c r="F10" s="13"/>
      <c r="L10" s="1">
        <v>1</v>
      </c>
    </row>
    <row r="11" spans="1:12" x14ac:dyDescent="0.2">
      <c r="B11" s="3" t="s">
        <v>29</v>
      </c>
      <c r="C11" s="13" t="s">
        <v>175</v>
      </c>
      <c r="D11" s="13"/>
      <c r="E11" s="13">
        <v>1</v>
      </c>
      <c r="F11" s="13"/>
      <c r="L11" s="1">
        <v>1</v>
      </c>
    </row>
    <row r="12" spans="1:12" x14ac:dyDescent="0.2">
      <c r="B12" s="3" t="s">
        <v>26</v>
      </c>
      <c r="C12" s="13" t="s">
        <v>175</v>
      </c>
      <c r="D12" s="13"/>
      <c r="E12" s="13"/>
      <c r="F12" s="13"/>
      <c r="K12">
        <v>1</v>
      </c>
      <c r="L12" s="1">
        <v>1</v>
      </c>
    </row>
    <row r="13" spans="1:12" x14ac:dyDescent="0.2">
      <c r="B13" s="3" t="s">
        <v>23</v>
      </c>
      <c r="C13" s="13" t="s">
        <v>175</v>
      </c>
      <c r="D13" s="13"/>
      <c r="E13" s="13"/>
      <c r="F13" s="13">
        <v>1</v>
      </c>
      <c r="L13" s="1">
        <v>1</v>
      </c>
    </row>
    <row r="14" spans="1:12" x14ac:dyDescent="0.2">
      <c r="A14" t="s">
        <v>14</v>
      </c>
      <c r="B14" t="s">
        <v>326</v>
      </c>
      <c r="C14" s="13" t="s">
        <v>178</v>
      </c>
      <c r="D14" s="13"/>
      <c r="E14" s="13">
        <v>1</v>
      </c>
      <c r="F14" s="13"/>
      <c r="K14">
        <v>2</v>
      </c>
      <c r="L14">
        <v>3</v>
      </c>
    </row>
    <row r="15" spans="1:12" x14ac:dyDescent="0.2">
      <c r="B15" s="3" t="s">
        <v>44</v>
      </c>
      <c r="C15" t="s">
        <v>187</v>
      </c>
      <c r="D15" s="13"/>
      <c r="E15" s="13"/>
      <c r="F15" s="13"/>
      <c r="I15">
        <v>1</v>
      </c>
      <c r="L15" s="1">
        <v>1</v>
      </c>
    </row>
    <row r="16" spans="1:12" x14ac:dyDescent="0.2">
      <c r="B16" s="3"/>
      <c r="C16" t="s">
        <v>188</v>
      </c>
      <c r="D16" s="13"/>
      <c r="E16" s="13"/>
      <c r="F16" s="13"/>
      <c r="I16">
        <v>1</v>
      </c>
      <c r="L16" s="1">
        <v>1</v>
      </c>
    </row>
    <row r="17" spans="1:12" x14ac:dyDescent="0.2">
      <c r="A17" t="s">
        <v>18</v>
      </c>
      <c r="B17" s="3" t="s">
        <v>2</v>
      </c>
      <c r="C17" t="s">
        <v>216</v>
      </c>
      <c r="D17" s="13"/>
      <c r="E17" s="13"/>
      <c r="F17" s="13">
        <v>3</v>
      </c>
      <c r="L17" s="1">
        <v>3</v>
      </c>
    </row>
    <row r="18" spans="1:12" x14ac:dyDescent="0.2">
      <c r="B18" s="3" t="s">
        <v>25</v>
      </c>
      <c r="C18" s="13" t="s">
        <v>216</v>
      </c>
      <c r="D18" s="13"/>
      <c r="E18" s="13"/>
      <c r="F18" s="13">
        <v>1</v>
      </c>
      <c r="L18" s="1">
        <v>1</v>
      </c>
    </row>
    <row r="19" spans="1:12" x14ac:dyDescent="0.2">
      <c r="A19" t="s">
        <v>15</v>
      </c>
      <c r="B19" s="3" t="s">
        <v>2</v>
      </c>
      <c r="C19" t="s">
        <v>190</v>
      </c>
      <c r="D19" s="13"/>
      <c r="E19" s="13"/>
      <c r="F19" s="13"/>
      <c r="J19">
        <v>3</v>
      </c>
      <c r="L19" s="1">
        <v>3</v>
      </c>
    </row>
    <row r="20" spans="1:12" x14ac:dyDescent="0.2">
      <c r="B20" s="3"/>
      <c r="C20" t="s">
        <v>196</v>
      </c>
      <c r="D20" s="13"/>
      <c r="E20" s="13"/>
      <c r="F20" s="13"/>
      <c r="J20">
        <v>1</v>
      </c>
      <c r="L20" s="1">
        <v>1</v>
      </c>
    </row>
    <row r="21" spans="1:12" x14ac:dyDescent="0.2">
      <c r="A21" t="s">
        <v>210</v>
      </c>
      <c r="B21" s="3" t="s">
        <v>2</v>
      </c>
      <c r="C21" s="13" t="s">
        <v>181</v>
      </c>
      <c r="D21" s="13"/>
      <c r="E21" s="13"/>
      <c r="F21" s="13"/>
      <c r="G21" s="13">
        <v>1</v>
      </c>
      <c r="L21" s="1">
        <v>1</v>
      </c>
    </row>
    <row r="22" spans="1:12" x14ac:dyDescent="0.2">
      <c r="B22" s="3" t="s">
        <v>40</v>
      </c>
      <c r="C22" s="13" t="s">
        <v>181</v>
      </c>
      <c r="D22" s="13"/>
      <c r="E22" s="13"/>
      <c r="F22" s="13"/>
      <c r="G22" s="13">
        <v>1</v>
      </c>
      <c r="L22" s="1">
        <v>1</v>
      </c>
    </row>
    <row r="23" spans="1:12" x14ac:dyDescent="0.2">
      <c r="B23" s="3" t="s">
        <v>34</v>
      </c>
      <c r="C23" s="13" t="s">
        <v>181</v>
      </c>
      <c r="D23" s="13"/>
      <c r="E23" s="13"/>
      <c r="F23" s="13">
        <v>1</v>
      </c>
      <c r="L23" s="1">
        <v>1</v>
      </c>
    </row>
    <row r="24" spans="1:12" x14ac:dyDescent="0.2">
      <c r="A24" t="s">
        <v>3</v>
      </c>
      <c r="B24" s="3" t="s">
        <v>2</v>
      </c>
      <c r="C24" s="13" t="s">
        <v>193</v>
      </c>
      <c r="D24" s="13"/>
      <c r="E24" s="13"/>
      <c r="F24" s="13">
        <v>3</v>
      </c>
      <c r="L24" s="1">
        <v>3</v>
      </c>
    </row>
    <row r="25" spans="1:12" x14ac:dyDescent="0.2">
      <c r="A25" t="s">
        <v>244</v>
      </c>
      <c r="B25" s="3" t="s">
        <v>28</v>
      </c>
      <c r="C25" s="13" t="s">
        <v>245</v>
      </c>
      <c r="D25" s="13"/>
      <c r="E25" s="13"/>
      <c r="F25" s="13">
        <v>2</v>
      </c>
      <c r="L25" s="1">
        <v>2</v>
      </c>
    </row>
    <row r="26" spans="1:12" x14ac:dyDescent="0.2">
      <c r="A26" t="s">
        <v>20</v>
      </c>
      <c r="B26" s="3" t="s">
        <v>22</v>
      </c>
      <c r="C26" s="13" t="s">
        <v>218</v>
      </c>
      <c r="D26" s="13"/>
      <c r="E26" s="13">
        <v>2</v>
      </c>
      <c r="F26" s="13"/>
      <c r="L26" s="1">
        <v>2</v>
      </c>
    </row>
    <row r="27" spans="1:12" x14ac:dyDescent="0.2">
      <c r="A27" t="s">
        <v>200</v>
      </c>
      <c r="B27" s="3" t="s">
        <v>35</v>
      </c>
      <c r="C27" t="s">
        <v>198</v>
      </c>
      <c r="D27" s="13"/>
      <c r="E27" s="13"/>
      <c r="F27" s="13"/>
      <c r="K27">
        <v>2</v>
      </c>
      <c r="L27" s="1">
        <v>2</v>
      </c>
    </row>
    <row r="28" spans="1:12" x14ac:dyDescent="0.2">
      <c r="A28" t="s">
        <v>212</v>
      </c>
      <c r="B28" s="3" t="s">
        <v>36</v>
      </c>
      <c r="C28" t="s">
        <v>312</v>
      </c>
      <c r="D28" s="13"/>
      <c r="E28" s="13"/>
      <c r="F28" s="13"/>
      <c r="I28">
        <v>1</v>
      </c>
      <c r="L28" s="1">
        <v>1</v>
      </c>
    </row>
    <row r="29" spans="1:12" x14ac:dyDescent="0.2">
      <c r="A29" t="s">
        <v>211</v>
      </c>
      <c r="B29" s="3" t="s">
        <v>2</v>
      </c>
      <c r="C29" t="s">
        <v>191</v>
      </c>
      <c r="D29" s="13"/>
      <c r="E29" s="13"/>
      <c r="F29" s="13"/>
      <c r="I29">
        <v>1</v>
      </c>
      <c r="L29" s="1">
        <v>1</v>
      </c>
    </row>
    <row r="30" spans="1:12" x14ac:dyDescent="0.2">
      <c r="A30" t="s">
        <v>106</v>
      </c>
      <c r="B30" s="3" t="s">
        <v>2</v>
      </c>
      <c r="C30" s="13" t="s">
        <v>215</v>
      </c>
      <c r="D30" s="13"/>
      <c r="E30" s="13"/>
      <c r="F30" s="13">
        <v>1</v>
      </c>
      <c r="L30" s="1">
        <v>1</v>
      </c>
    </row>
    <row r="31" spans="1:12" x14ac:dyDescent="0.2">
      <c r="A31" t="s">
        <v>208</v>
      </c>
      <c r="D31" s="12">
        <v>1</v>
      </c>
      <c r="E31" s="12">
        <v>6</v>
      </c>
      <c r="F31" s="12">
        <v>17</v>
      </c>
      <c r="G31" s="12">
        <v>2</v>
      </c>
      <c r="H31">
        <v>2</v>
      </c>
      <c r="I31">
        <v>4</v>
      </c>
      <c r="J31">
        <v>4</v>
      </c>
      <c r="K31">
        <v>9</v>
      </c>
      <c r="L31">
        <v>45</v>
      </c>
    </row>
    <row r="37" spans="1:12" x14ac:dyDescent="0.2">
      <c r="A37" s="2" t="s">
        <v>176</v>
      </c>
      <c r="B37" t="s">
        <v>195</v>
      </c>
    </row>
    <row r="39" spans="1:12" x14ac:dyDescent="0.2">
      <c r="A39" s="2" t="s">
        <v>209</v>
      </c>
      <c r="D39" s="2" t="s">
        <v>6</v>
      </c>
    </row>
    <row r="40" spans="1:12" ht="30" x14ac:dyDescent="0.2">
      <c r="A40" s="2" t="s">
        <v>13</v>
      </c>
      <c r="B40" s="2" t="s">
        <v>194</v>
      </c>
      <c r="C40" s="2" t="s">
        <v>140</v>
      </c>
      <c r="D40" s="4">
        <v>45762</v>
      </c>
      <c r="E40" s="4">
        <v>45763</v>
      </c>
      <c r="F40" s="4">
        <v>45764</v>
      </c>
      <c r="G40" s="4">
        <v>45769</v>
      </c>
      <c r="H40" s="4">
        <v>45771</v>
      </c>
      <c r="I40" s="4">
        <v>45772</v>
      </c>
      <c r="J40" s="4">
        <v>45775</v>
      </c>
      <c r="K40" s="4">
        <v>45777</v>
      </c>
      <c r="L40" s="3" t="s">
        <v>208</v>
      </c>
    </row>
    <row r="41" spans="1:12" x14ac:dyDescent="0.2">
      <c r="A41" t="s">
        <v>190</v>
      </c>
      <c r="B41" t="s">
        <v>15</v>
      </c>
      <c r="C41" s="3" t="s">
        <v>2</v>
      </c>
      <c r="D41" s="16"/>
      <c r="E41" s="16"/>
      <c r="F41" s="16"/>
      <c r="G41" s="17"/>
      <c r="J41">
        <v>3</v>
      </c>
      <c r="L41" s="1">
        <v>3</v>
      </c>
    </row>
    <row r="42" spans="1:12" x14ac:dyDescent="0.2">
      <c r="A42" t="s">
        <v>187</v>
      </c>
      <c r="B42" t="s">
        <v>14</v>
      </c>
      <c r="C42" s="3" t="s">
        <v>44</v>
      </c>
      <c r="D42" s="16"/>
      <c r="E42" s="16"/>
      <c r="F42" s="16"/>
      <c r="G42" s="17"/>
      <c r="I42">
        <v>1</v>
      </c>
      <c r="L42" s="1">
        <v>1</v>
      </c>
    </row>
    <row r="43" spans="1:12" x14ac:dyDescent="0.2">
      <c r="A43" s="12" t="s">
        <v>181</v>
      </c>
      <c r="B43" s="12" t="s">
        <v>210</v>
      </c>
      <c r="C43" s="15" t="s">
        <v>2</v>
      </c>
      <c r="D43" s="14"/>
      <c r="E43" s="14"/>
      <c r="F43" s="14"/>
      <c r="G43" s="14">
        <v>1</v>
      </c>
      <c r="L43" s="1">
        <v>1</v>
      </c>
    </row>
    <row r="44" spans="1:12" x14ac:dyDescent="0.2">
      <c r="C44" s="15" t="s">
        <v>40</v>
      </c>
      <c r="D44" s="14"/>
      <c r="E44" s="14"/>
      <c r="F44" s="14"/>
      <c r="G44" s="14">
        <v>1</v>
      </c>
      <c r="L44" s="1">
        <v>1</v>
      </c>
    </row>
    <row r="45" spans="1:12" x14ac:dyDescent="0.2">
      <c r="C45" s="15" t="s">
        <v>34</v>
      </c>
      <c r="D45" s="14"/>
      <c r="E45" s="14"/>
      <c r="F45" s="14">
        <v>1</v>
      </c>
      <c r="G45" s="12"/>
      <c r="L45" s="1">
        <v>1</v>
      </c>
    </row>
    <row r="46" spans="1:12" x14ac:dyDescent="0.2">
      <c r="A46" s="12" t="s">
        <v>216</v>
      </c>
      <c r="B46" s="12" t="s">
        <v>18</v>
      </c>
      <c r="C46" s="15" t="s">
        <v>2</v>
      </c>
      <c r="D46" s="14"/>
      <c r="E46" s="14"/>
      <c r="F46" s="14">
        <v>3</v>
      </c>
      <c r="G46" s="12"/>
      <c r="L46" s="1">
        <v>3</v>
      </c>
    </row>
    <row r="47" spans="1:12" x14ac:dyDescent="0.2">
      <c r="C47" s="15" t="s">
        <v>25</v>
      </c>
      <c r="D47" s="14"/>
      <c r="E47" s="14"/>
      <c r="F47" s="14">
        <v>1</v>
      </c>
      <c r="G47" s="12"/>
      <c r="L47" s="1">
        <v>1</v>
      </c>
    </row>
    <row r="48" spans="1:12" x14ac:dyDescent="0.2">
      <c r="A48" s="12" t="s">
        <v>193</v>
      </c>
      <c r="B48" s="12" t="s">
        <v>3</v>
      </c>
      <c r="C48" s="15" t="s">
        <v>2</v>
      </c>
      <c r="D48" s="14"/>
      <c r="E48" s="14"/>
      <c r="F48" s="14">
        <v>3</v>
      </c>
      <c r="G48" s="12"/>
      <c r="L48" s="1">
        <v>3</v>
      </c>
    </row>
    <row r="49" spans="1:12" x14ac:dyDescent="0.2">
      <c r="A49" s="12" t="s">
        <v>178</v>
      </c>
      <c r="B49" s="12" t="s">
        <v>14</v>
      </c>
      <c r="C49" s="12" t="s">
        <v>326</v>
      </c>
      <c r="D49" s="14"/>
      <c r="E49" s="14">
        <v>1</v>
      </c>
      <c r="F49" s="14"/>
      <c r="G49" s="12"/>
      <c r="K49">
        <v>2</v>
      </c>
      <c r="L49">
        <v>3</v>
      </c>
    </row>
    <row r="50" spans="1:12" x14ac:dyDescent="0.2">
      <c r="A50" s="12" t="s">
        <v>218</v>
      </c>
      <c r="B50" s="12" t="s">
        <v>20</v>
      </c>
      <c r="C50" s="15" t="s">
        <v>22</v>
      </c>
      <c r="D50" s="14"/>
      <c r="E50" s="14">
        <v>2</v>
      </c>
      <c r="F50" s="14"/>
      <c r="G50" s="12"/>
      <c r="L50" s="1">
        <v>2</v>
      </c>
    </row>
    <row r="51" spans="1:12" x14ac:dyDescent="0.2">
      <c r="A51" t="s">
        <v>191</v>
      </c>
      <c r="B51" t="s">
        <v>211</v>
      </c>
      <c r="C51" s="3" t="s">
        <v>2</v>
      </c>
      <c r="D51" s="16"/>
      <c r="E51" s="16"/>
      <c r="F51" s="16"/>
      <c r="G51" s="17"/>
      <c r="I51">
        <v>1</v>
      </c>
      <c r="L51" s="1">
        <v>1</v>
      </c>
    </row>
    <row r="52" spans="1:12" x14ac:dyDescent="0.2">
      <c r="A52" t="s">
        <v>196</v>
      </c>
      <c r="B52" t="s">
        <v>15</v>
      </c>
      <c r="C52" s="3" t="s">
        <v>2</v>
      </c>
      <c r="D52" s="16"/>
      <c r="E52" s="16"/>
      <c r="F52" s="16"/>
      <c r="G52" s="17"/>
      <c r="J52">
        <v>1</v>
      </c>
      <c r="L52" s="1">
        <v>1</v>
      </c>
    </row>
    <row r="53" spans="1:12" x14ac:dyDescent="0.2">
      <c r="A53" t="s">
        <v>198</v>
      </c>
      <c r="B53" t="s">
        <v>200</v>
      </c>
      <c r="C53" s="3" t="s">
        <v>35</v>
      </c>
      <c r="D53" s="16"/>
      <c r="E53" s="16"/>
      <c r="F53" s="16"/>
      <c r="G53" s="17"/>
      <c r="K53">
        <v>2</v>
      </c>
      <c r="L53" s="1">
        <v>2</v>
      </c>
    </row>
    <row r="54" spans="1:12" x14ac:dyDescent="0.2">
      <c r="A54" s="12" t="s">
        <v>215</v>
      </c>
      <c r="B54" s="12" t="s">
        <v>106</v>
      </c>
      <c r="C54" s="15" t="s">
        <v>2</v>
      </c>
      <c r="D54" s="14"/>
      <c r="E54" s="14"/>
      <c r="F54" s="14">
        <v>1</v>
      </c>
      <c r="G54" s="12"/>
      <c r="L54" s="1">
        <v>1</v>
      </c>
    </row>
    <row r="55" spans="1:12" x14ac:dyDescent="0.2">
      <c r="A55" t="s">
        <v>312</v>
      </c>
      <c r="B55" t="s">
        <v>212</v>
      </c>
      <c r="C55" s="18" t="s">
        <v>36</v>
      </c>
      <c r="D55" s="16"/>
      <c r="E55" s="16"/>
      <c r="F55" s="16"/>
      <c r="G55" s="17"/>
      <c r="I55">
        <v>1</v>
      </c>
      <c r="L55" s="1">
        <v>1</v>
      </c>
    </row>
    <row r="56" spans="1:12" x14ac:dyDescent="0.2">
      <c r="A56" s="12" t="s">
        <v>245</v>
      </c>
      <c r="B56" s="12" t="s">
        <v>244</v>
      </c>
      <c r="C56" s="15" t="s">
        <v>28</v>
      </c>
      <c r="D56" s="14"/>
      <c r="E56" s="14"/>
      <c r="F56" s="14">
        <v>2</v>
      </c>
      <c r="G56" s="12"/>
      <c r="L56" s="1">
        <v>2</v>
      </c>
    </row>
    <row r="57" spans="1:12" x14ac:dyDescent="0.2">
      <c r="A57" t="s">
        <v>188</v>
      </c>
      <c r="B57" t="s">
        <v>14</v>
      </c>
      <c r="C57" s="3" t="s">
        <v>44</v>
      </c>
      <c r="D57" s="16"/>
      <c r="E57" s="16"/>
      <c r="F57" s="16"/>
      <c r="G57" s="17"/>
      <c r="I57">
        <v>1</v>
      </c>
      <c r="L57" s="1">
        <v>1</v>
      </c>
    </row>
    <row r="58" spans="1:12" x14ac:dyDescent="0.2">
      <c r="A58" s="12" t="s">
        <v>175</v>
      </c>
      <c r="B58" s="12" t="s">
        <v>16</v>
      </c>
      <c r="C58" s="12" t="s">
        <v>326</v>
      </c>
      <c r="D58" s="14"/>
      <c r="E58" s="14">
        <v>2</v>
      </c>
      <c r="F58" s="14">
        <v>2</v>
      </c>
      <c r="G58" s="12"/>
      <c r="K58">
        <v>3</v>
      </c>
      <c r="L58">
        <v>7</v>
      </c>
    </row>
    <row r="59" spans="1:12" x14ac:dyDescent="0.2">
      <c r="C59" s="15" t="s">
        <v>2</v>
      </c>
      <c r="D59" s="14"/>
      <c r="E59" s="14"/>
      <c r="F59" s="14">
        <v>2</v>
      </c>
      <c r="G59" s="12"/>
      <c r="H59">
        <v>2</v>
      </c>
      <c r="L59" s="1">
        <v>4</v>
      </c>
    </row>
    <row r="60" spans="1:12" x14ac:dyDescent="0.2">
      <c r="C60" s="15" t="s">
        <v>35</v>
      </c>
      <c r="D60" s="14"/>
      <c r="E60" s="14"/>
      <c r="F60" s="14"/>
      <c r="G60" s="12"/>
      <c r="K60">
        <v>1</v>
      </c>
      <c r="L60" s="1">
        <v>1</v>
      </c>
    </row>
    <row r="61" spans="1:12" x14ac:dyDescent="0.2">
      <c r="C61" s="15" t="s">
        <v>28</v>
      </c>
      <c r="D61" s="14"/>
      <c r="E61" s="14"/>
      <c r="F61" s="14">
        <v>1</v>
      </c>
      <c r="G61" s="12"/>
      <c r="L61" s="1">
        <v>1</v>
      </c>
    </row>
    <row r="62" spans="1:12" x14ac:dyDescent="0.2">
      <c r="C62" s="15" t="s">
        <v>49</v>
      </c>
      <c r="D62" s="14">
        <v>1</v>
      </c>
      <c r="E62" s="14"/>
      <c r="F62" s="14"/>
      <c r="G62" s="12"/>
      <c r="L62" s="1">
        <v>1</v>
      </c>
    </row>
    <row r="63" spans="1:12" x14ac:dyDescent="0.2">
      <c r="C63" s="15" t="s">
        <v>29</v>
      </c>
      <c r="D63" s="14"/>
      <c r="E63" s="14">
        <v>1</v>
      </c>
      <c r="F63" s="14"/>
      <c r="G63" s="12"/>
      <c r="L63" s="1">
        <v>1</v>
      </c>
    </row>
    <row r="64" spans="1:12" x14ac:dyDescent="0.2">
      <c r="C64" s="18" t="s">
        <v>26</v>
      </c>
      <c r="D64" s="16"/>
      <c r="E64" s="16"/>
      <c r="F64" s="16"/>
      <c r="G64" s="17"/>
      <c r="H64" s="17"/>
      <c r="I64" s="17"/>
      <c r="J64" s="17"/>
      <c r="K64">
        <v>1</v>
      </c>
      <c r="L64" s="1">
        <v>1</v>
      </c>
    </row>
    <row r="65" spans="1:12" x14ac:dyDescent="0.2">
      <c r="C65" s="15" t="s">
        <v>23</v>
      </c>
      <c r="D65" s="14"/>
      <c r="E65" s="14"/>
      <c r="F65" s="14">
        <v>1</v>
      </c>
      <c r="G65" s="12"/>
      <c r="L65" s="1">
        <v>1</v>
      </c>
    </row>
    <row r="66" spans="1:12" x14ac:dyDescent="0.2">
      <c r="A66" t="s">
        <v>208</v>
      </c>
      <c r="D66" s="12">
        <v>1</v>
      </c>
      <c r="E66" s="12">
        <v>6</v>
      </c>
      <c r="F66" s="12">
        <v>17</v>
      </c>
      <c r="G66" s="12">
        <v>2</v>
      </c>
      <c r="H66">
        <v>2</v>
      </c>
      <c r="I66">
        <v>4</v>
      </c>
      <c r="J66">
        <v>4</v>
      </c>
      <c r="K66">
        <v>9</v>
      </c>
      <c r="L66">
        <v>45</v>
      </c>
    </row>
  </sheetData>
  <sortState xmlns:xlrd2="http://schemas.microsoft.com/office/spreadsheetml/2017/richdata2" ref="A3:T19">
    <sortCondition descending="1" ref="C4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16"/>
  <sheetViews>
    <sheetView zoomScaleNormal="100" workbookViewId="0">
      <selection activeCell="G45" sqref="G45"/>
    </sheetView>
  </sheetViews>
  <sheetFormatPr baseColWidth="10" defaultColWidth="8.83203125" defaultRowHeight="15" x14ac:dyDescent="0.2"/>
  <cols>
    <col min="1" max="1" width="6.83203125" style="8" bestFit="1" customWidth="1"/>
    <col min="2" max="2" width="24.6640625" style="8" bestFit="1" customWidth="1"/>
    <col min="3" max="3" width="42.33203125" style="9" bestFit="1" customWidth="1"/>
    <col min="4" max="4" width="68.1640625" style="9" customWidth="1"/>
    <col min="5" max="5" width="59.5" style="9" bestFit="1" customWidth="1"/>
    <col min="6" max="6" width="7.83203125" style="10" bestFit="1" customWidth="1"/>
    <col min="7" max="7" width="24.5" style="8" bestFit="1" customWidth="1"/>
    <col min="8" max="8" width="16.5" style="8" bestFit="1" customWidth="1"/>
    <col min="9" max="9" width="12.6640625" style="8" bestFit="1" customWidth="1"/>
    <col min="10" max="10" width="7.5" style="8" bestFit="1" customWidth="1"/>
    <col min="11" max="16384" width="8.83203125" style="8"/>
  </cols>
  <sheetData>
    <row r="1" spans="1:11" s="5" customFormat="1" ht="16" x14ac:dyDescent="0.2">
      <c r="A1" s="5" t="s">
        <v>0</v>
      </c>
      <c r="B1" s="5" t="s">
        <v>140</v>
      </c>
      <c r="C1" s="6" t="s">
        <v>141</v>
      </c>
      <c r="D1" s="6" t="s">
        <v>4</v>
      </c>
      <c r="E1" s="6" t="s">
        <v>248</v>
      </c>
      <c r="F1" s="7" t="s">
        <v>6</v>
      </c>
      <c r="G1" s="5" t="s">
        <v>13</v>
      </c>
      <c r="H1" s="5" t="s">
        <v>194</v>
      </c>
      <c r="I1" s="5" t="s">
        <v>176</v>
      </c>
    </row>
    <row r="2" spans="1:11" ht="32" hidden="1" x14ac:dyDescent="0.2">
      <c r="A2" s="8" t="s">
        <v>1</v>
      </c>
      <c r="B2" s="8" t="s">
        <v>326</v>
      </c>
      <c r="C2" s="9" t="s">
        <v>136</v>
      </c>
      <c r="D2" s="9" t="s">
        <v>313</v>
      </c>
      <c r="E2" s="9" t="s">
        <v>288</v>
      </c>
      <c r="F2" s="10">
        <v>45763</v>
      </c>
      <c r="G2" s="8" t="s">
        <v>175</v>
      </c>
      <c r="H2" s="8" t="s">
        <v>16</v>
      </c>
      <c r="I2" s="8" t="s">
        <v>195</v>
      </c>
      <c r="K2" s="8" t="str">
        <f>CLEAN(B2)</f>
        <v>RHFPW</v>
      </c>
    </row>
    <row r="3" spans="1:11" ht="32" hidden="1" x14ac:dyDescent="0.2">
      <c r="A3" s="8" t="s">
        <v>1</v>
      </c>
      <c r="B3" s="8" t="s">
        <v>326</v>
      </c>
      <c r="C3" s="9" t="s">
        <v>136</v>
      </c>
      <c r="D3" s="9" t="s">
        <v>139</v>
      </c>
      <c r="E3" s="9" t="s">
        <v>289</v>
      </c>
      <c r="F3" s="10">
        <v>45763</v>
      </c>
      <c r="G3" s="8" t="s">
        <v>175</v>
      </c>
      <c r="H3" s="8" t="s">
        <v>16</v>
      </c>
      <c r="I3" s="8" t="s">
        <v>195</v>
      </c>
      <c r="K3" s="8" t="str">
        <f t="shared" ref="K3:K66" si="0">CLEAN(B3)</f>
        <v>RHFPW</v>
      </c>
    </row>
    <row r="4" spans="1:11" ht="16" hidden="1" x14ac:dyDescent="0.2">
      <c r="A4" s="8" t="s">
        <v>1</v>
      </c>
      <c r="B4" s="8" t="s">
        <v>326</v>
      </c>
      <c r="C4" s="9" t="s">
        <v>136</v>
      </c>
      <c r="D4" s="9" t="s">
        <v>138</v>
      </c>
      <c r="F4" s="10">
        <v>45787</v>
      </c>
      <c r="G4" s="8" t="s">
        <v>178</v>
      </c>
      <c r="H4" s="8" t="s">
        <v>14</v>
      </c>
      <c r="I4" s="8" t="s">
        <v>195</v>
      </c>
      <c r="K4" s="8" t="str">
        <f t="shared" si="0"/>
        <v>RHFPW</v>
      </c>
    </row>
    <row r="5" spans="1:11" ht="16" hidden="1" x14ac:dyDescent="0.2">
      <c r="A5" s="8" t="s">
        <v>1</v>
      </c>
      <c r="B5" s="8" t="s">
        <v>326</v>
      </c>
      <c r="C5" s="9" t="s">
        <v>136</v>
      </c>
      <c r="D5" s="9" t="s">
        <v>137</v>
      </c>
      <c r="E5" s="9" t="s">
        <v>290</v>
      </c>
      <c r="F5" s="10">
        <v>45870</v>
      </c>
      <c r="G5" s="8" t="s">
        <v>175</v>
      </c>
      <c r="H5" s="8" t="s">
        <v>16</v>
      </c>
      <c r="I5" s="8" t="s">
        <v>195</v>
      </c>
      <c r="K5" s="8" t="str">
        <f t="shared" si="0"/>
        <v>RHFPW</v>
      </c>
    </row>
    <row r="6" spans="1:11" ht="16" hidden="1" x14ac:dyDescent="0.2">
      <c r="A6" s="8" t="s">
        <v>1</v>
      </c>
      <c r="B6" s="8" t="s">
        <v>326</v>
      </c>
      <c r="C6" s="9" t="s">
        <v>142</v>
      </c>
      <c r="D6" s="9" t="s">
        <v>143</v>
      </c>
      <c r="E6" s="9" t="s">
        <v>291</v>
      </c>
      <c r="F6" s="10">
        <v>45777</v>
      </c>
      <c r="G6" s="8" t="s">
        <v>175</v>
      </c>
      <c r="H6" s="8" t="s">
        <v>16</v>
      </c>
      <c r="I6" s="8" t="s">
        <v>195</v>
      </c>
      <c r="K6" s="8" t="str">
        <f t="shared" si="0"/>
        <v>RHFPW</v>
      </c>
    </row>
    <row r="7" spans="1:11" ht="16" hidden="1" x14ac:dyDescent="0.2">
      <c r="A7" s="8" t="s">
        <v>1</v>
      </c>
      <c r="B7" s="8" t="s">
        <v>326</v>
      </c>
      <c r="C7" s="9" t="s">
        <v>144</v>
      </c>
      <c r="D7" s="9" t="s">
        <v>143</v>
      </c>
      <c r="E7" s="9" t="s">
        <v>292</v>
      </c>
      <c r="F7" s="10">
        <v>45786</v>
      </c>
      <c r="G7" s="8" t="s">
        <v>175</v>
      </c>
      <c r="H7" s="8" t="s">
        <v>16</v>
      </c>
      <c r="I7" s="8" t="s">
        <v>195</v>
      </c>
      <c r="K7" s="8" t="str">
        <f t="shared" si="0"/>
        <v>RHFPW</v>
      </c>
    </row>
    <row r="8" spans="1:11" ht="16" hidden="1" x14ac:dyDescent="0.2">
      <c r="A8" s="8" t="s">
        <v>1</v>
      </c>
      <c r="B8" s="8" t="s">
        <v>326</v>
      </c>
      <c r="C8" s="9" t="s">
        <v>145</v>
      </c>
      <c r="D8" s="9" t="s">
        <v>147</v>
      </c>
      <c r="F8" s="10">
        <v>45751</v>
      </c>
      <c r="G8" s="8" t="s">
        <v>175</v>
      </c>
      <c r="H8" s="8" t="s">
        <v>16</v>
      </c>
      <c r="I8" s="8" t="s">
        <v>177</v>
      </c>
      <c r="K8" s="8" t="str">
        <f t="shared" si="0"/>
        <v>RHFPW</v>
      </c>
    </row>
    <row r="9" spans="1:11" ht="32" hidden="1" x14ac:dyDescent="0.2">
      <c r="A9" s="8" t="s">
        <v>1</v>
      </c>
      <c r="B9" s="8" t="s">
        <v>326</v>
      </c>
      <c r="C9" s="9" t="s">
        <v>145</v>
      </c>
      <c r="D9" s="9" t="s">
        <v>293</v>
      </c>
      <c r="E9" s="9" t="s">
        <v>294</v>
      </c>
      <c r="F9" s="10">
        <v>45764</v>
      </c>
      <c r="G9" s="8" t="s">
        <v>175</v>
      </c>
      <c r="H9" s="8" t="s">
        <v>16</v>
      </c>
      <c r="I9" s="8" t="s">
        <v>195</v>
      </c>
      <c r="K9" s="8" t="str">
        <f t="shared" si="0"/>
        <v>RHFPW</v>
      </c>
    </row>
    <row r="10" spans="1:11" ht="16" hidden="1" x14ac:dyDescent="0.2">
      <c r="A10" s="8" t="s">
        <v>1</v>
      </c>
      <c r="B10" s="8" t="s">
        <v>326</v>
      </c>
      <c r="C10" s="9" t="s">
        <v>145</v>
      </c>
      <c r="D10" s="9" t="s">
        <v>146</v>
      </c>
      <c r="F10" s="10">
        <v>45777</v>
      </c>
      <c r="G10" s="8" t="s">
        <v>178</v>
      </c>
      <c r="H10" s="8" t="s">
        <v>14</v>
      </c>
      <c r="I10" s="8" t="s">
        <v>195</v>
      </c>
      <c r="K10" s="8" t="str">
        <f t="shared" si="0"/>
        <v>RHFPW</v>
      </c>
    </row>
    <row r="11" spans="1:11" ht="16" hidden="1" x14ac:dyDescent="0.2">
      <c r="A11" s="8" t="s">
        <v>1</v>
      </c>
      <c r="B11" s="8" t="s">
        <v>326</v>
      </c>
      <c r="C11" s="9" t="s">
        <v>148</v>
      </c>
      <c r="D11" s="9" t="s">
        <v>179</v>
      </c>
      <c r="E11" s="9" t="s">
        <v>295</v>
      </c>
      <c r="F11" s="10">
        <v>45777</v>
      </c>
      <c r="G11" s="8" t="s">
        <v>175</v>
      </c>
      <c r="H11" s="8" t="s">
        <v>16</v>
      </c>
      <c r="I11" s="8" t="s">
        <v>195</v>
      </c>
      <c r="K11" s="8" t="str">
        <f t="shared" si="0"/>
        <v>RHFPW</v>
      </c>
    </row>
    <row r="12" spans="1:11" ht="32" hidden="1" x14ac:dyDescent="0.2">
      <c r="A12" s="8" t="s">
        <v>1</v>
      </c>
      <c r="B12" s="8" t="s">
        <v>326</v>
      </c>
      <c r="C12" s="9" t="s">
        <v>149</v>
      </c>
      <c r="D12" s="9" t="s">
        <v>236</v>
      </c>
      <c r="F12" s="10">
        <v>45827</v>
      </c>
      <c r="G12" s="8" t="s">
        <v>175</v>
      </c>
      <c r="H12" s="8" t="s">
        <v>16</v>
      </c>
      <c r="I12" s="8" t="s">
        <v>296</v>
      </c>
      <c r="K12" s="8" t="str">
        <f t="shared" si="0"/>
        <v>RHFPW</v>
      </c>
    </row>
    <row r="13" spans="1:11" ht="16" hidden="1" x14ac:dyDescent="0.2">
      <c r="A13" s="8" t="s">
        <v>1</v>
      </c>
      <c r="B13" s="8" t="s">
        <v>326</v>
      </c>
      <c r="C13" s="9" t="s">
        <v>150</v>
      </c>
      <c r="D13" s="9" t="s">
        <v>151</v>
      </c>
      <c r="E13" s="9" t="s">
        <v>297</v>
      </c>
      <c r="F13" s="10">
        <v>45777</v>
      </c>
      <c r="G13" s="8" t="s">
        <v>175</v>
      </c>
      <c r="H13" s="8" t="s">
        <v>16</v>
      </c>
      <c r="I13" s="8" t="s">
        <v>195</v>
      </c>
      <c r="K13" s="8" t="str">
        <f t="shared" si="0"/>
        <v>RHFPW</v>
      </c>
    </row>
    <row r="14" spans="1:11" ht="16" hidden="1" x14ac:dyDescent="0.2">
      <c r="A14" s="8" t="s">
        <v>1</v>
      </c>
      <c r="B14" s="8" t="s">
        <v>326</v>
      </c>
      <c r="C14" s="9" t="s">
        <v>152</v>
      </c>
      <c r="D14" s="9" t="s">
        <v>314</v>
      </c>
      <c r="E14" s="9" t="s">
        <v>298</v>
      </c>
      <c r="F14" s="10">
        <v>45828</v>
      </c>
      <c r="G14" s="8" t="s">
        <v>175</v>
      </c>
      <c r="H14" s="8" t="s">
        <v>16</v>
      </c>
      <c r="I14" s="8" t="s">
        <v>195</v>
      </c>
      <c r="K14" s="8" t="str">
        <f t="shared" si="0"/>
        <v>RHFPW</v>
      </c>
    </row>
    <row r="15" spans="1:11" ht="16" hidden="1" x14ac:dyDescent="0.2">
      <c r="A15" s="8" t="s">
        <v>1</v>
      </c>
      <c r="B15" s="8" t="s">
        <v>326</v>
      </c>
      <c r="C15" s="9" t="s">
        <v>153</v>
      </c>
      <c r="D15" s="9" t="s">
        <v>154</v>
      </c>
      <c r="F15" s="10">
        <v>45763</v>
      </c>
      <c r="G15" s="8" t="s">
        <v>178</v>
      </c>
      <c r="H15" s="8" t="s">
        <v>14</v>
      </c>
      <c r="I15" s="8" t="s">
        <v>195</v>
      </c>
      <c r="K15" s="8" t="str">
        <f t="shared" si="0"/>
        <v>RHFPW</v>
      </c>
    </row>
    <row r="16" spans="1:11" ht="32" hidden="1" x14ac:dyDescent="0.2">
      <c r="A16" s="8" t="s">
        <v>1</v>
      </c>
      <c r="B16" s="8" t="s">
        <v>326</v>
      </c>
      <c r="C16" s="9" t="s">
        <v>153</v>
      </c>
      <c r="D16" s="9" t="s">
        <v>315</v>
      </c>
      <c r="F16" s="10">
        <v>45777</v>
      </c>
      <c r="G16" s="8" t="s">
        <v>178</v>
      </c>
      <c r="H16" s="8" t="s">
        <v>14</v>
      </c>
      <c r="I16" s="8" t="s">
        <v>195</v>
      </c>
      <c r="K16" s="8" t="str">
        <f t="shared" si="0"/>
        <v>RHFPW</v>
      </c>
    </row>
    <row r="17" spans="1:11" ht="32" hidden="1" x14ac:dyDescent="0.2">
      <c r="A17" s="8" t="s">
        <v>1</v>
      </c>
      <c r="B17" s="8" t="s">
        <v>326</v>
      </c>
      <c r="C17" s="9" t="s">
        <v>155</v>
      </c>
      <c r="D17" s="9" t="s">
        <v>156</v>
      </c>
      <c r="F17" s="10">
        <v>45810</v>
      </c>
      <c r="G17" s="8" t="s">
        <v>178</v>
      </c>
      <c r="H17" s="8" t="s">
        <v>14</v>
      </c>
      <c r="I17" s="8" t="s">
        <v>195</v>
      </c>
      <c r="K17" s="8" t="str">
        <f t="shared" si="0"/>
        <v>RHFPW</v>
      </c>
    </row>
    <row r="18" spans="1:11" ht="16" hidden="1" x14ac:dyDescent="0.2">
      <c r="A18" s="8" t="s">
        <v>1</v>
      </c>
      <c r="B18" s="8" t="s">
        <v>326</v>
      </c>
      <c r="C18" s="9" t="s">
        <v>157</v>
      </c>
      <c r="D18" s="9" t="s">
        <v>160</v>
      </c>
      <c r="F18" s="10">
        <v>45747</v>
      </c>
      <c r="G18" s="8" t="s">
        <v>178</v>
      </c>
      <c r="H18" s="8" t="s">
        <v>14</v>
      </c>
      <c r="I18" s="8" t="s">
        <v>177</v>
      </c>
      <c r="K18" s="8" t="str">
        <f t="shared" si="0"/>
        <v>RHFPW</v>
      </c>
    </row>
    <row r="19" spans="1:11" ht="16" hidden="1" x14ac:dyDescent="0.2">
      <c r="A19" s="8" t="s">
        <v>1</v>
      </c>
      <c r="B19" s="8" t="s">
        <v>326</v>
      </c>
      <c r="C19" s="9" t="s">
        <v>157</v>
      </c>
      <c r="D19" s="9" t="s">
        <v>159</v>
      </c>
      <c r="F19" s="10">
        <v>45755</v>
      </c>
      <c r="G19" s="8" t="s">
        <v>178</v>
      </c>
      <c r="H19" s="8" t="s">
        <v>14</v>
      </c>
      <c r="I19" s="8" t="s">
        <v>177</v>
      </c>
      <c r="K19" s="8" t="str">
        <f t="shared" si="0"/>
        <v>RHFPW</v>
      </c>
    </row>
    <row r="20" spans="1:11" ht="16" hidden="1" x14ac:dyDescent="0.2">
      <c r="A20" s="8" t="s">
        <v>1</v>
      </c>
      <c r="B20" s="8" t="s">
        <v>326</v>
      </c>
      <c r="C20" s="9" t="s">
        <v>157</v>
      </c>
      <c r="D20" s="9" t="s">
        <v>158</v>
      </c>
      <c r="F20" s="10">
        <v>45755</v>
      </c>
      <c r="G20" s="8" t="s">
        <v>178</v>
      </c>
      <c r="H20" s="8" t="s">
        <v>14</v>
      </c>
      <c r="I20" s="8" t="s">
        <v>177</v>
      </c>
      <c r="K20" s="8" t="str">
        <f t="shared" si="0"/>
        <v>RHFPW</v>
      </c>
    </row>
    <row r="21" spans="1:11" ht="16" hidden="1" x14ac:dyDescent="0.2">
      <c r="A21" s="8" t="s">
        <v>1</v>
      </c>
      <c r="B21" s="8" t="s">
        <v>326</v>
      </c>
      <c r="C21" s="9" t="s">
        <v>157</v>
      </c>
      <c r="D21" s="9" t="s">
        <v>220</v>
      </c>
      <c r="E21" s="9" t="s">
        <v>299</v>
      </c>
      <c r="F21" s="10">
        <v>45809</v>
      </c>
      <c r="G21" s="8" t="s">
        <v>175</v>
      </c>
      <c r="H21" s="8" t="s">
        <v>16</v>
      </c>
      <c r="I21" s="8" t="s">
        <v>195</v>
      </c>
      <c r="K21" s="8" t="str">
        <f t="shared" si="0"/>
        <v>RHFPW</v>
      </c>
    </row>
    <row r="22" spans="1:11" ht="16" hidden="1" x14ac:dyDescent="0.2">
      <c r="A22" s="8" t="s">
        <v>1</v>
      </c>
      <c r="B22" s="8" t="s">
        <v>326</v>
      </c>
      <c r="C22" s="9" t="s">
        <v>161</v>
      </c>
      <c r="D22" s="9" t="s">
        <v>162</v>
      </c>
      <c r="E22" s="9" t="s">
        <v>287</v>
      </c>
      <c r="F22" s="10">
        <v>45764</v>
      </c>
      <c r="G22" s="8" t="s">
        <v>175</v>
      </c>
      <c r="H22" s="8" t="s">
        <v>16</v>
      </c>
      <c r="I22" s="8" t="s">
        <v>195</v>
      </c>
      <c r="K22" s="8" t="str">
        <f t="shared" si="0"/>
        <v>RHFPW</v>
      </c>
    </row>
    <row r="23" spans="1:11" ht="32" hidden="1" x14ac:dyDescent="0.2">
      <c r="A23" s="8" t="s">
        <v>1</v>
      </c>
      <c r="B23" s="8" t="s">
        <v>40</v>
      </c>
      <c r="C23" s="9" t="s">
        <v>163</v>
      </c>
      <c r="D23" s="9" t="s">
        <v>164</v>
      </c>
      <c r="E23" s="9" t="s">
        <v>284</v>
      </c>
      <c r="F23" s="10">
        <v>45769</v>
      </c>
      <c r="G23" s="8" t="s">
        <v>181</v>
      </c>
      <c r="H23" s="8" t="s">
        <v>210</v>
      </c>
      <c r="I23" s="8" t="s">
        <v>195</v>
      </c>
      <c r="K23" s="8" t="str">
        <f t="shared" si="0"/>
        <v>CONTRACHEQUE</v>
      </c>
    </row>
    <row r="24" spans="1:11" ht="16" hidden="1" x14ac:dyDescent="0.2">
      <c r="A24" s="8" t="s">
        <v>1</v>
      </c>
      <c r="B24" s="8" t="s">
        <v>40</v>
      </c>
      <c r="C24" s="9" t="s">
        <v>163</v>
      </c>
      <c r="D24" s="9" t="s">
        <v>165</v>
      </c>
      <c r="F24" s="10">
        <v>45870</v>
      </c>
      <c r="G24" s="8" t="s">
        <v>181</v>
      </c>
      <c r="H24" s="8" t="s">
        <v>210</v>
      </c>
      <c r="I24" s="8" t="s">
        <v>195</v>
      </c>
      <c r="K24" s="8" t="str">
        <f t="shared" si="0"/>
        <v>CONTRACHEQUE</v>
      </c>
    </row>
    <row r="25" spans="1:11" ht="32" hidden="1" x14ac:dyDescent="0.2">
      <c r="A25" s="8" t="s">
        <v>1</v>
      </c>
      <c r="B25" s="8" t="s">
        <v>41</v>
      </c>
      <c r="C25" s="9" t="s">
        <v>166</v>
      </c>
      <c r="D25" s="9" t="s">
        <v>221</v>
      </c>
      <c r="F25" s="11">
        <v>45756</v>
      </c>
      <c r="G25" s="8" t="s">
        <v>175</v>
      </c>
      <c r="H25" s="8" t="s">
        <v>16</v>
      </c>
      <c r="I25" s="8" t="s">
        <v>177</v>
      </c>
      <c r="K25" s="8" t="str">
        <f t="shared" si="0"/>
        <v>CONTROLE DE JORNADA</v>
      </c>
    </row>
    <row r="26" spans="1:11" ht="32" hidden="1" x14ac:dyDescent="0.2">
      <c r="A26" s="8" t="s">
        <v>1</v>
      </c>
      <c r="B26" s="8" t="s">
        <v>42</v>
      </c>
      <c r="C26" s="9" t="s">
        <v>167</v>
      </c>
      <c r="D26" s="9" t="s">
        <v>222</v>
      </c>
      <c r="F26" s="11">
        <v>45756</v>
      </c>
      <c r="G26" s="8" t="s">
        <v>175</v>
      </c>
      <c r="H26" s="8" t="s">
        <v>16</v>
      </c>
      <c r="I26" s="8" t="s">
        <v>177</v>
      </c>
      <c r="K26" s="8" t="str">
        <f t="shared" si="0"/>
        <v>PORTAL DE GH</v>
      </c>
    </row>
    <row r="27" spans="1:11" ht="48" hidden="1" x14ac:dyDescent="0.2">
      <c r="A27" s="8" t="s">
        <v>1</v>
      </c>
      <c r="B27" s="8" t="s">
        <v>43</v>
      </c>
      <c r="C27" s="9" t="s">
        <v>168</v>
      </c>
      <c r="D27" s="9" t="s">
        <v>316</v>
      </c>
      <c r="F27" s="10">
        <v>45756</v>
      </c>
      <c r="G27" s="8" t="s">
        <v>178</v>
      </c>
      <c r="H27" s="8" t="s">
        <v>14</v>
      </c>
      <c r="I27" s="8" t="s">
        <v>177</v>
      </c>
      <c r="K27" s="8" t="str">
        <f t="shared" si="0"/>
        <v>REMUNERAÇÃO VARIÁVEL</v>
      </c>
    </row>
    <row r="28" spans="1:11" ht="16" hidden="1" x14ac:dyDescent="0.2">
      <c r="A28" s="8" t="s">
        <v>1</v>
      </c>
      <c r="B28" s="8" t="s">
        <v>44</v>
      </c>
      <c r="C28" s="9" t="s">
        <v>169</v>
      </c>
      <c r="D28" s="9" t="s">
        <v>268</v>
      </c>
      <c r="E28" s="9" t="s">
        <v>268</v>
      </c>
      <c r="F28" s="10">
        <v>45772</v>
      </c>
      <c r="G28" s="8" t="s">
        <v>187</v>
      </c>
      <c r="H28" s="8" t="s">
        <v>14</v>
      </c>
      <c r="I28" s="8" t="s">
        <v>195</v>
      </c>
      <c r="K28" s="8" t="str">
        <f t="shared" si="0"/>
        <v>ATESTADO - THEO</v>
      </c>
    </row>
    <row r="29" spans="1:11" ht="16" hidden="1" x14ac:dyDescent="0.2">
      <c r="A29" s="8" t="s">
        <v>1</v>
      </c>
      <c r="B29" s="8" t="s">
        <v>44</v>
      </c>
      <c r="C29" s="9" t="s">
        <v>169</v>
      </c>
      <c r="D29" s="9" t="s">
        <v>185</v>
      </c>
      <c r="E29" s="9" t="s">
        <v>269</v>
      </c>
      <c r="F29" s="10">
        <v>45772</v>
      </c>
      <c r="G29" s="8" t="s">
        <v>188</v>
      </c>
      <c r="H29" s="8" t="s">
        <v>14</v>
      </c>
      <c r="I29" s="8" t="s">
        <v>195</v>
      </c>
      <c r="K29" s="8" t="str">
        <f t="shared" si="0"/>
        <v>ATESTADO - THEO</v>
      </c>
    </row>
    <row r="30" spans="1:11" ht="16" hidden="1" x14ac:dyDescent="0.2">
      <c r="A30" s="8" t="s">
        <v>1</v>
      </c>
      <c r="B30" s="8" t="s">
        <v>44</v>
      </c>
      <c r="C30" s="9" t="s">
        <v>169</v>
      </c>
      <c r="D30" s="9" t="s">
        <v>184</v>
      </c>
      <c r="F30" s="10">
        <v>45782</v>
      </c>
      <c r="G30" s="8" t="s">
        <v>188</v>
      </c>
      <c r="H30" s="8" t="s">
        <v>14</v>
      </c>
      <c r="I30" s="8" t="s">
        <v>195</v>
      </c>
      <c r="K30" s="8" t="str">
        <f t="shared" si="0"/>
        <v>ATESTADO - THEO</v>
      </c>
    </row>
    <row r="31" spans="1:11" ht="16" hidden="1" x14ac:dyDescent="0.2">
      <c r="A31" s="8" t="s">
        <v>1</v>
      </c>
      <c r="B31" s="8" t="s">
        <v>44</v>
      </c>
      <c r="C31" s="9" t="s">
        <v>169</v>
      </c>
      <c r="D31" s="9" t="s">
        <v>183</v>
      </c>
      <c r="E31" s="9" t="s">
        <v>270</v>
      </c>
      <c r="F31" s="10" t="s">
        <v>186</v>
      </c>
      <c r="G31" s="8" t="s">
        <v>189</v>
      </c>
      <c r="H31" s="8" t="s">
        <v>14</v>
      </c>
      <c r="I31" s="8" t="s">
        <v>195</v>
      </c>
      <c r="K31" s="8" t="str">
        <f t="shared" si="0"/>
        <v>ATESTADO - THEO</v>
      </c>
    </row>
    <row r="32" spans="1:11" ht="16" hidden="1" x14ac:dyDescent="0.2">
      <c r="A32" s="8" t="s">
        <v>1</v>
      </c>
      <c r="B32" s="8" t="s">
        <v>44</v>
      </c>
      <c r="C32" s="9" t="s">
        <v>169</v>
      </c>
      <c r="D32" s="9" t="s">
        <v>182</v>
      </c>
      <c r="F32" s="10">
        <v>45870</v>
      </c>
      <c r="G32" s="8" t="s">
        <v>178</v>
      </c>
      <c r="H32" s="8" t="s">
        <v>14</v>
      </c>
      <c r="I32" s="8" t="s">
        <v>195</v>
      </c>
      <c r="K32" s="8" t="str">
        <f t="shared" si="0"/>
        <v>ATESTADO - THEO</v>
      </c>
    </row>
    <row r="33" spans="1:11" ht="16" hidden="1" x14ac:dyDescent="0.2">
      <c r="A33" s="8" t="s">
        <v>1</v>
      </c>
      <c r="B33" s="8" t="s">
        <v>45</v>
      </c>
      <c r="C33" s="9" t="s">
        <v>171</v>
      </c>
      <c r="D33" s="9" t="s">
        <v>170</v>
      </c>
      <c r="F33" s="10">
        <v>45748</v>
      </c>
      <c r="G33" s="8" t="s">
        <v>178</v>
      </c>
      <c r="H33" s="8" t="s">
        <v>14</v>
      </c>
      <c r="I33" s="8" t="s">
        <v>177</v>
      </c>
      <c r="K33" s="8" t="str">
        <f t="shared" si="0"/>
        <v>GUPY/ÚNICO</v>
      </c>
    </row>
    <row r="34" spans="1:11" ht="32" hidden="1" x14ac:dyDescent="0.2">
      <c r="A34" s="8" t="s">
        <v>1</v>
      </c>
      <c r="B34" s="8" t="s">
        <v>46</v>
      </c>
      <c r="C34" s="9" t="s">
        <v>172</v>
      </c>
      <c r="D34" s="9" t="s">
        <v>317</v>
      </c>
      <c r="F34" s="10">
        <v>45757</v>
      </c>
      <c r="G34" s="8" t="s">
        <v>178</v>
      </c>
      <c r="H34" s="8" t="s">
        <v>14</v>
      </c>
      <c r="I34" s="8" t="s">
        <v>177</v>
      </c>
      <c r="K34" s="8" t="str">
        <f t="shared" si="0"/>
        <v>INFORME DE RENDIMENTOS</v>
      </c>
    </row>
    <row r="35" spans="1:11" ht="32" hidden="1" x14ac:dyDescent="0.2">
      <c r="A35" s="8" t="s">
        <v>1</v>
      </c>
      <c r="B35" s="8" t="s">
        <v>47</v>
      </c>
      <c r="C35" s="9" t="s">
        <v>47</v>
      </c>
      <c r="D35" s="9" t="s">
        <v>222</v>
      </c>
      <c r="F35" s="10">
        <v>45756</v>
      </c>
      <c r="G35" s="8" t="s">
        <v>175</v>
      </c>
      <c r="H35" s="8" t="s">
        <v>16</v>
      </c>
      <c r="I35" s="8" t="s">
        <v>177</v>
      </c>
      <c r="K35" s="8" t="str">
        <f t="shared" si="0"/>
        <v>TUP/VONIX</v>
      </c>
    </row>
    <row r="36" spans="1:11" ht="16" hidden="1" x14ac:dyDescent="0.2">
      <c r="A36" s="8" t="s">
        <v>1</v>
      </c>
      <c r="B36" s="8" t="s">
        <v>48</v>
      </c>
      <c r="C36" s="9" t="s">
        <v>48</v>
      </c>
      <c r="D36" s="9" t="s">
        <v>173</v>
      </c>
      <c r="F36" s="10">
        <v>45748</v>
      </c>
      <c r="G36" s="8" t="s">
        <v>175</v>
      </c>
      <c r="H36" s="8" t="s">
        <v>16</v>
      </c>
      <c r="I36" s="8" t="s">
        <v>177</v>
      </c>
      <c r="K36" s="8" t="str">
        <f t="shared" si="0"/>
        <v>ATENDE CONECTA/ CANAL RM</v>
      </c>
    </row>
    <row r="37" spans="1:11" ht="48" hidden="1" x14ac:dyDescent="0.2">
      <c r="A37" s="8" t="s">
        <v>1</v>
      </c>
      <c r="B37" s="8" t="s">
        <v>49</v>
      </c>
      <c r="C37" s="9" t="s">
        <v>174</v>
      </c>
      <c r="D37" s="9" t="s">
        <v>318</v>
      </c>
      <c r="E37" s="9" t="s">
        <v>279</v>
      </c>
      <c r="F37" s="10">
        <v>45762</v>
      </c>
      <c r="G37" s="8" t="s">
        <v>175</v>
      </c>
      <c r="H37" s="8" t="s">
        <v>16</v>
      </c>
      <c r="I37" s="8" t="s">
        <v>195</v>
      </c>
      <c r="K37" s="8" t="str">
        <f t="shared" si="0"/>
        <v>APP COLABORADOR DE CAMPO</v>
      </c>
    </row>
    <row r="38" spans="1:11" ht="16" hidden="1" x14ac:dyDescent="0.2">
      <c r="A38" s="8" t="s">
        <v>1</v>
      </c>
      <c r="B38" s="8" t="s">
        <v>2</v>
      </c>
      <c r="C38" s="9" t="s">
        <v>50</v>
      </c>
      <c r="D38" s="9" t="s">
        <v>54</v>
      </c>
      <c r="E38" s="9" t="s">
        <v>254</v>
      </c>
      <c r="F38" s="10">
        <v>45775</v>
      </c>
      <c r="G38" s="8" t="s">
        <v>190</v>
      </c>
      <c r="H38" s="8" t="s">
        <v>15</v>
      </c>
      <c r="I38" s="8" t="s">
        <v>195</v>
      </c>
      <c r="K38" s="8" t="str">
        <f t="shared" si="0"/>
        <v>SAP</v>
      </c>
    </row>
    <row r="39" spans="1:11" ht="16" hidden="1" x14ac:dyDescent="0.2">
      <c r="A39" s="8" t="s">
        <v>1</v>
      </c>
      <c r="B39" s="8" t="s">
        <v>2</v>
      </c>
      <c r="C39" s="9" t="s">
        <v>50</v>
      </c>
      <c r="D39" s="9" t="s">
        <v>51</v>
      </c>
      <c r="F39" s="10">
        <v>45775</v>
      </c>
      <c r="G39" s="8" t="s">
        <v>190</v>
      </c>
      <c r="H39" s="8" t="s">
        <v>15</v>
      </c>
      <c r="I39" s="8" t="s">
        <v>177</v>
      </c>
      <c r="K39" s="8" t="str">
        <f t="shared" si="0"/>
        <v>SAP</v>
      </c>
    </row>
    <row r="40" spans="1:11" ht="16" hidden="1" x14ac:dyDescent="0.2">
      <c r="A40" s="8" t="s">
        <v>1</v>
      </c>
      <c r="B40" s="8" t="s">
        <v>2</v>
      </c>
      <c r="C40" s="9" t="s">
        <v>50</v>
      </c>
      <c r="D40" s="9" t="s">
        <v>52</v>
      </c>
      <c r="E40" s="9" t="s">
        <v>255</v>
      </c>
      <c r="F40" s="10">
        <v>45775</v>
      </c>
      <c r="G40" s="8" t="s">
        <v>190</v>
      </c>
      <c r="H40" s="8" t="s">
        <v>15</v>
      </c>
      <c r="I40" s="8" t="s">
        <v>195</v>
      </c>
      <c r="K40" s="8" t="str">
        <f t="shared" si="0"/>
        <v>SAP</v>
      </c>
    </row>
    <row r="41" spans="1:11" ht="16" hidden="1" x14ac:dyDescent="0.2">
      <c r="A41" s="8" t="s">
        <v>1</v>
      </c>
      <c r="B41" s="8" t="s">
        <v>2</v>
      </c>
      <c r="C41" s="9" t="s">
        <v>50</v>
      </c>
      <c r="D41" s="9" t="s">
        <v>53</v>
      </c>
      <c r="E41" s="9" t="s">
        <v>255</v>
      </c>
      <c r="F41" s="10">
        <v>45775</v>
      </c>
      <c r="G41" s="8" t="s">
        <v>190</v>
      </c>
      <c r="H41" s="8" t="s">
        <v>15</v>
      </c>
      <c r="I41" s="8" t="s">
        <v>195</v>
      </c>
      <c r="K41" s="8" t="str">
        <f t="shared" si="0"/>
        <v>SAP</v>
      </c>
    </row>
    <row r="42" spans="1:11" ht="16" x14ac:dyDescent="0.2">
      <c r="A42" s="8" t="s">
        <v>1</v>
      </c>
      <c r="B42" s="8" t="s">
        <v>2</v>
      </c>
      <c r="C42" s="9" t="s">
        <v>55</v>
      </c>
      <c r="D42" s="9" t="s">
        <v>56</v>
      </c>
      <c r="F42" s="10">
        <v>45758</v>
      </c>
      <c r="G42" s="8" t="s">
        <v>216</v>
      </c>
      <c r="H42" s="8" t="s">
        <v>18</v>
      </c>
      <c r="I42" s="8" t="s">
        <v>177</v>
      </c>
      <c r="K42" s="8" t="str">
        <f t="shared" si="0"/>
        <v>SAP</v>
      </c>
    </row>
    <row r="43" spans="1:11" ht="16" x14ac:dyDescent="0.2">
      <c r="A43" s="8" t="s">
        <v>1</v>
      </c>
      <c r="B43" s="8" t="s">
        <v>2</v>
      </c>
      <c r="C43" s="9" t="s">
        <v>55</v>
      </c>
      <c r="D43" s="9" t="s">
        <v>57</v>
      </c>
      <c r="E43" s="9" t="s">
        <v>257</v>
      </c>
      <c r="F43" s="10">
        <v>45764</v>
      </c>
      <c r="G43" s="8" t="s">
        <v>216</v>
      </c>
      <c r="H43" s="8" t="s">
        <v>18</v>
      </c>
      <c r="I43" s="8" t="s">
        <v>195</v>
      </c>
      <c r="K43" s="8" t="str">
        <f t="shared" si="0"/>
        <v>SAP</v>
      </c>
    </row>
    <row r="44" spans="1:11" ht="16" x14ac:dyDescent="0.2">
      <c r="A44" s="8" t="s">
        <v>1</v>
      </c>
      <c r="B44" s="8" t="s">
        <v>2</v>
      </c>
      <c r="C44" s="9" t="s">
        <v>55</v>
      </c>
      <c r="D44" s="9" t="s">
        <v>58</v>
      </c>
      <c r="E44" s="9" t="s">
        <v>258</v>
      </c>
      <c r="F44" s="10">
        <v>45764</v>
      </c>
      <c r="G44" s="8" t="s">
        <v>216</v>
      </c>
      <c r="H44" s="8" t="s">
        <v>18</v>
      </c>
      <c r="I44" s="8" t="s">
        <v>195</v>
      </c>
      <c r="K44" s="8" t="str">
        <f t="shared" si="0"/>
        <v>SAP</v>
      </c>
    </row>
    <row r="45" spans="1:11" ht="16" x14ac:dyDescent="0.2">
      <c r="A45" s="8" t="s">
        <v>1</v>
      </c>
      <c r="B45" s="8" t="s">
        <v>2</v>
      </c>
      <c r="C45" s="9" t="s">
        <v>55</v>
      </c>
      <c r="D45" s="9" t="s">
        <v>59</v>
      </c>
      <c r="E45" s="9" t="s">
        <v>256</v>
      </c>
      <c r="F45" s="10">
        <v>45764</v>
      </c>
      <c r="G45" s="8" t="s">
        <v>216</v>
      </c>
      <c r="H45" s="8" t="s">
        <v>18</v>
      </c>
      <c r="I45" s="8" t="s">
        <v>195</v>
      </c>
      <c r="K45" s="8" t="str">
        <f t="shared" si="0"/>
        <v>SAP</v>
      </c>
    </row>
    <row r="46" spans="1:11" ht="16" hidden="1" x14ac:dyDescent="0.2">
      <c r="A46" s="8" t="s">
        <v>1</v>
      </c>
      <c r="B46" s="8" t="s">
        <v>2</v>
      </c>
      <c r="C46" s="9" t="s">
        <v>60</v>
      </c>
      <c r="D46" s="9" t="s">
        <v>61</v>
      </c>
      <c r="E46" s="9" t="s">
        <v>259</v>
      </c>
      <c r="F46" s="10">
        <v>45769</v>
      </c>
      <c r="G46" s="8" t="s">
        <v>181</v>
      </c>
      <c r="H46" s="8" t="s">
        <v>210</v>
      </c>
      <c r="I46" s="8" t="s">
        <v>195</v>
      </c>
      <c r="K46" s="8" t="str">
        <f t="shared" si="0"/>
        <v>SAP</v>
      </c>
    </row>
    <row r="47" spans="1:11" ht="32" hidden="1" x14ac:dyDescent="0.2">
      <c r="B47" s="8" t="s">
        <v>2</v>
      </c>
      <c r="C47" s="9" t="s">
        <v>60</v>
      </c>
      <c r="D47" s="9" t="s">
        <v>62</v>
      </c>
      <c r="E47" s="9" t="s">
        <v>260</v>
      </c>
      <c r="F47" s="10">
        <v>45772</v>
      </c>
      <c r="G47" s="8" t="s">
        <v>191</v>
      </c>
      <c r="H47" s="8" t="s">
        <v>211</v>
      </c>
      <c r="I47" s="8" t="s">
        <v>195</v>
      </c>
      <c r="K47" s="8" t="str">
        <f t="shared" si="0"/>
        <v>SAP</v>
      </c>
    </row>
    <row r="48" spans="1:11" ht="16" hidden="1" x14ac:dyDescent="0.2">
      <c r="A48" s="8" t="s">
        <v>1</v>
      </c>
      <c r="B48" s="8" t="s">
        <v>2</v>
      </c>
      <c r="C48" s="9" t="s">
        <v>63</v>
      </c>
      <c r="D48" s="9" t="s">
        <v>319</v>
      </c>
      <c r="E48" s="9" t="s">
        <v>261</v>
      </c>
      <c r="F48" s="10">
        <v>45764</v>
      </c>
      <c r="G48" s="8" t="s">
        <v>193</v>
      </c>
      <c r="H48" s="8" t="s">
        <v>3</v>
      </c>
      <c r="I48" s="8" t="s">
        <v>195</v>
      </c>
      <c r="K48" s="8" t="str">
        <f t="shared" si="0"/>
        <v>SAP</v>
      </c>
    </row>
    <row r="49" spans="1:11" ht="16" hidden="1" x14ac:dyDescent="0.2">
      <c r="B49" s="8" t="s">
        <v>2</v>
      </c>
      <c r="C49" s="9" t="s">
        <v>63</v>
      </c>
      <c r="D49" s="9" t="s">
        <v>320</v>
      </c>
      <c r="E49" s="9" t="s">
        <v>310</v>
      </c>
      <c r="F49" s="10">
        <v>45764</v>
      </c>
      <c r="G49" s="8" t="s">
        <v>193</v>
      </c>
      <c r="H49" s="8" t="s">
        <v>3</v>
      </c>
      <c r="I49" s="8" t="s">
        <v>195</v>
      </c>
      <c r="K49" s="8" t="str">
        <f t="shared" si="0"/>
        <v>SAP</v>
      </c>
    </row>
    <row r="50" spans="1:11" ht="16" hidden="1" x14ac:dyDescent="0.2">
      <c r="B50" s="8" t="s">
        <v>2</v>
      </c>
      <c r="C50" s="9" t="s">
        <v>63</v>
      </c>
      <c r="D50" s="9" t="s">
        <v>66</v>
      </c>
      <c r="F50" s="10">
        <v>45756</v>
      </c>
      <c r="G50" s="8" t="s">
        <v>193</v>
      </c>
      <c r="H50" s="8" t="s">
        <v>3</v>
      </c>
      <c r="I50" s="8" t="s">
        <v>177</v>
      </c>
      <c r="K50" s="8" t="str">
        <f t="shared" si="0"/>
        <v>SAP</v>
      </c>
    </row>
    <row r="51" spans="1:11" ht="16" hidden="1" x14ac:dyDescent="0.2">
      <c r="B51" s="8" t="s">
        <v>2</v>
      </c>
      <c r="C51" s="9" t="s">
        <v>63</v>
      </c>
      <c r="D51" s="9" t="s">
        <v>223</v>
      </c>
      <c r="E51" s="9" t="s">
        <v>249</v>
      </c>
      <c r="F51" s="10">
        <v>45764</v>
      </c>
      <c r="G51" s="8" t="s">
        <v>175</v>
      </c>
      <c r="H51" s="8" t="s">
        <v>16</v>
      </c>
      <c r="I51" s="8" t="s">
        <v>177</v>
      </c>
      <c r="K51" s="8" t="str">
        <f t="shared" si="0"/>
        <v>SAP</v>
      </c>
    </row>
    <row r="52" spans="1:11" ht="16" hidden="1" x14ac:dyDescent="0.2">
      <c r="B52" s="8" t="s">
        <v>2</v>
      </c>
      <c r="C52" s="9" t="s">
        <v>63</v>
      </c>
      <c r="D52" s="9" t="s">
        <v>321</v>
      </c>
      <c r="E52" s="9" t="s">
        <v>262</v>
      </c>
      <c r="F52" s="10">
        <v>45764</v>
      </c>
      <c r="G52" s="8" t="s">
        <v>193</v>
      </c>
      <c r="H52" s="8" t="s">
        <v>3</v>
      </c>
      <c r="I52" s="8" t="s">
        <v>195</v>
      </c>
      <c r="K52" s="8" t="str">
        <f t="shared" si="0"/>
        <v>SAP</v>
      </c>
    </row>
    <row r="53" spans="1:11" ht="32" hidden="1" x14ac:dyDescent="0.2">
      <c r="A53" s="8" t="s">
        <v>1</v>
      </c>
      <c r="B53" s="8" t="s">
        <v>2</v>
      </c>
      <c r="C53" s="9" t="s">
        <v>55</v>
      </c>
      <c r="D53" s="9" t="s">
        <v>5</v>
      </c>
      <c r="E53" s="9" t="s">
        <v>5</v>
      </c>
      <c r="F53" s="10">
        <v>45775</v>
      </c>
      <c r="G53" s="8" t="s">
        <v>196</v>
      </c>
      <c r="H53" s="8" t="s">
        <v>15</v>
      </c>
      <c r="I53" s="8" t="s">
        <v>195</v>
      </c>
      <c r="K53" s="8" t="str">
        <f t="shared" si="0"/>
        <v>SAP</v>
      </c>
    </row>
    <row r="54" spans="1:11" ht="16" hidden="1" x14ac:dyDescent="0.2">
      <c r="A54" s="8" t="s">
        <v>1</v>
      </c>
      <c r="B54" s="8" t="s">
        <v>2</v>
      </c>
      <c r="C54" s="9" t="s">
        <v>67</v>
      </c>
      <c r="D54" s="9" t="s">
        <v>322</v>
      </c>
      <c r="F54" s="10">
        <v>45758</v>
      </c>
      <c r="G54" s="8" t="s">
        <v>199</v>
      </c>
      <c r="H54" s="9" t="s">
        <v>212</v>
      </c>
      <c r="I54" s="8" t="s">
        <v>177</v>
      </c>
      <c r="K54" s="8" t="str">
        <f t="shared" si="0"/>
        <v>SAP</v>
      </c>
    </row>
    <row r="55" spans="1:11" ht="16" hidden="1" x14ac:dyDescent="0.2">
      <c r="B55" s="8" t="s">
        <v>2</v>
      </c>
      <c r="C55" s="9" t="s">
        <v>67</v>
      </c>
      <c r="D55" s="9" t="s">
        <v>68</v>
      </c>
      <c r="E55" s="9" t="s">
        <v>250</v>
      </c>
      <c r="F55" s="10">
        <v>45764</v>
      </c>
      <c r="G55" s="8" t="s">
        <v>247</v>
      </c>
      <c r="H55" s="9" t="s">
        <v>16</v>
      </c>
      <c r="I55" s="8" t="s">
        <v>177</v>
      </c>
      <c r="K55" s="8" t="str">
        <f t="shared" si="0"/>
        <v>SAP</v>
      </c>
    </row>
    <row r="56" spans="1:11" ht="16" hidden="1" x14ac:dyDescent="0.2">
      <c r="B56" s="8" t="s">
        <v>2</v>
      </c>
      <c r="C56" s="9" t="s">
        <v>67</v>
      </c>
      <c r="D56" s="9" t="s">
        <v>69</v>
      </c>
      <c r="F56" s="10">
        <v>45757</v>
      </c>
      <c r="G56" s="8" t="s">
        <v>199</v>
      </c>
      <c r="H56" s="9" t="s">
        <v>19</v>
      </c>
      <c r="I56" s="8" t="s">
        <v>177</v>
      </c>
      <c r="K56" s="8" t="str">
        <f t="shared" si="0"/>
        <v>SAP</v>
      </c>
    </row>
    <row r="57" spans="1:11" ht="16" hidden="1" x14ac:dyDescent="0.2">
      <c r="B57" s="8" t="s">
        <v>2</v>
      </c>
      <c r="C57" s="9" t="s">
        <v>67</v>
      </c>
      <c r="D57" s="9" t="s">
        <v>70</v>
      </c>
      <c r="F57" s="10">
        <v>45757</v>
      </c>
      <c r="G57" s="8" t="s">
        <v>199</v>
      </c>
      <c r="H57" s="9" t="s">
        <v>212</v>
      </c>
      <c r="I57" s="8" t="s">
        <v>177</v>
      </c>
      <c r="K57" s="8" t="str">
        <f t="shared" si="0"/>
        <v>SAP</v>
      </c>
    </row>
    <row r="58" spans="1:11" ht="16" hidden="1" x14ac:dyDescent="0.2">
      <c r="B58" s="8" t="s">
        <v>2</v>
      </c>
      <c r="C58" s="9" t="s">
        <v>67</v>
      </c>
      <c r="D58" s="9" t="s">
        <v>71</v>
      </c>
      <c r="F58" s="10">
        <v>45757</v>
      </c>
      <c r="G58" s="8" t="s">
        <v>199</v>
      </c>
      <c r="H58" s="9" t="s">
        <v>212</v>
      </c>
      <c r="I58" s="8" t="s">
        <v>177</v>
      </c>
      <c r="K58" s="8" t="str">
        <f t="shared" si="0"/>
        <v>SAP</v>
      </c>
    </row>
    <row r="59" spans="1:11" ht="16" hidden="1" x14ac:dyDescent="0.2">
      <c r="B59" s="8" t="s">
        <v>2</v>
      </c>
      <c r="C59" s="9" t="s">
        <v>67</v>
      </c>
      <c r="D59" s="9" t="s">
        <v>72</v>
      </c>
      <c r="F59" s="10">
        <v>45757</v>
      </c>
      <c r="G59" s="8" t="s">
        <v>199</v>
      </c>
      <c r="H59" s="9" t="s">
        <v>212</v>
      </c>
      <c r="I59" s="8" t="s">
        <v>177</v>
      </c>
      <c r="K59" s="8" t="str">
        <f t="shared" si="0"/>
        <v>SAP</v>
      </c>
    </row>
    <row r="60" spans="1:11" ht="32" hidden="1" x14ac:dyDescent="0.2">
      <c r="B60" s="8" t="s">
        <v>2</v>
      </c>
      <c r="C60" s="9" t="s">
        <v>67</v>
      </c>
      <c r="D60" s="9" t="s">
        <v>73</v>
      </c>
      <c r="F60" s="11">
        <v>45757</v>
      </c>
      <c r="G60" s="8" t="s">
        <v>198</v>
      </c>
      <c r="H60" s="8" t="s">
        <v>200</v>
      </c>
      <c r="I60" s="8" t="s">
        <v>177</v>
      </c>
      <c r="K60" s="8" t="str">
        <f t="shared" si="0"/>
        <v>SAP</v>
      </c>
    </row>
    <row r="61" spans="1:11" ht="16" hidden="1" x14ac:dyDescent="0.2">
      <c r="B61" s="8" t="s">
        <v>2</v>
      </c>
      <c r="C61" s="9" t="s">
        <v>67</v>
      </c>
      <c r="D61" s="9" t="s">
        <v>74</v>
      </c>
      <c r="F61" s="10">
        <v>45763</v>
      </c>
      <c r="G61" s="8" t="s">
        <v>197</v>
      </c>
      <c r="H61" s="9" t="s">
        <v>213</v>
      </c>
      <c r="I61" s="8" t="s">
        <v>177</v>
      </c>
      <c r="K61" s="8" t="str">
        <f t="shared" si="0"/>
        <v>SAP</v>
      </c>
    </row>
    <row r="62" spans="1:11" ht="16" hidden="1" x14ac:dyDescent="0.2">
      <c r="B62" s="8" t="s">
        <v>2</v>
      </c>
      <c r="C62" s="9" t="s">
        <v>67</v>
      </c>
      <c r="D62" s="9" t="s">
        <v>75</v>
      </c>
      <c r="F62" s="10">
        <v>45764</v>
      </c>
      <c r="G62" s="8" t="s">
        <v>201</v>
      </c>
      <c r="H62" s="9" t="s">
        <v>212</v>
      </c>
      <c r="I62" s="8" t="s">
        <v>177</v>
      </c>
      <c r="K62" s="8" t="str">
        <f t="shared" si="0"/>
        <v>SAP</v>
      </c>
    </row>
    <row r="63" spans="1:11" ht="32" hidden="1" x14ac:dyDescent="0.2">
      <c r="A63" s="8" t="s">
        <v>1</v>
      </c>
      <c r="B63" s="8" t="s">
        <v>2</v>
      </c>
      <c r="C63" s="9" t="s">
        <v>76</v>
      </c>
      <c r="D63" s="9" t="s">
        <v>263</v>
      </c>
      <c r="E63" s="9" t="s">
        <v>264</v>
      </c>
      <c r="F63" s="10">
        <v>45764</v>
      </c>
      <c r="G63" s="8" t="s">
        <v>202</v>
      </c>
      <c r="H63" s="8" t="s">
        <v>76</v>
      </c>
      <c r="I63" s="8" t="s">
        <v>177</v>
      </c>
      <c r="K63" s="8" t="str">
        <f t="shared" si="0"/>
        <v>SAP</v>
      </c>
    </row>
    <row r="64" spans="1:11" ht="32" hidden="1" x14ac:dyDescent="0.2">
      <c r="B64" s="8" t="s">
        <v>2</v>
      </c>
      <c r="C64" s="9" t="s">
        <v>76</v>
      </c>
      <c r="D64" s="9" t="s">
        <v>224</v>
      </c>
      <c r="E64" s="9" t="s">
        <v>251</v>
      </c>
      <c r="F64" s="10">
        <v>45764</v>
      </c>
      <c r="G64" s="8" t="s">
        <v>175</v>
      </c>
      <c r="H64" s="8" t="s">
        <v>16</v>
      </c>
      <c r="I64" s="8" t="s">
        <v>195</v>
      </c>
      <c r="K64" s="8" t="str">
        <f t="shared" si="0"/>
        <v>SAP</v>
      </c>
    </row>
    <row r="65" spans="1:11" ht="16" hidden="1" x14ac:dyDescent="0.2">
      <c r="A65" s="8" t="s">
        <v>1</v>
      </c>
      <c r="B65" s="8" t="s">
        <v>2</v>
      </c>
      <c r="C65" s="9" t="s">
        <v>77</v>
      </c>
      <c r="D65" s="9" t="s">
        <v>78</v>
      </c>
      <c r="F65" s="10" t="s">
        <v>10</v>
      </c>
      <c r="G65" s="8" t="s">
        <v>203</v>
      </c>
      <c r="H65" s="8" t="s">
        <v>204</v>
      </c>
      <c r="I65" s="8" t="s">
        <v>177</v>
      </c>
      <c r="K65" s="8" t="str">
        <f t="shared" si="0"/>
        <v>SAP</v>
      </c>
    </row>
    <row r="66" spans="1:11" ht="32" hidden="1" x14ac:dyDescent="0.2">
      <c r="A66" s="8" t="s">
        <v>1</v>
      </c>
      <c r="B66" s="8" t="s">
        <v>2</v>
      </c>
      <c r="C66" s="9" t="s">
        <v>79</v>
      </c>
      <c r="D66" s="9" t="s">
        <v>81</v>
      </c>
      <c r="E66" s="9" t="s">
        <v>252</v>
      </c>
      <c r="F66" s="10">
        <v>45782</v>
      </c>
      <c r="G66" s="8" t="s">
        <v>175</v>
      </c>
      <c r="H66" s="8" t="s">
        <v>16</v>
      </c>
      <c r="I66" s="8" t="s">
        <v>195</v>
      </c>
      <c r="K66" s="8" t="str">
        <f t="shared" si="0"/>
        <v>SAP</v>
      </c>
    </row>
    <row r="67" spans="1:11" ht="16" hidden="1" x14ac:dyDescent="0.2">
      <c r="B67" s="8" t="s">
        <v>2</v>
      </c>
      <c r="C67" s="9" t="s">
        <v>79</v>
      </c>
      <c r="D67" s="9" t="s">
        <v>80</v>
      </c>
      <c r="E67" s="9" t="s">
        <v>300</v>
      </c>
      <c r="F67" s="10">
        <v>45782</v>
      </c>
      <c r="G67" s="8" t="s">
        <v>175</v>
      </c>
      <c r="H67" s="8" t="s">
        <v>16</v>
      </c>
      <c r="I67" s="8" t="s">
        <v>177</v>
      </c>
      <c r="K67" s="8" t="str">
        <f t="shared" ref="K67:K115" si="1">CLEAN(B67)</f>
        <v>SAP</v>
      </c>
    </row>
    <row r="68" spans="1:11" ht="16" hidden="1" x14ac:dyDescent="0.2">
      <c r="B68" s="8" t="s">
        <v>2</v>
      </c>
      <c r="C68" s="9" t="s">
        <v>82</v>
      </c>
      <c r="D68" s="9" t="s">
        <v>83</v>
      </c>
      <c r="E68" s="9" t="s">
        <v>301</v>
      </c>
      <c r="F68" s="10">
        <v>45764</v>
      </c>
      <c r="G68" s="8" t="s">
        <v>175</v>
      </c>
      <c r="H68" s="8" t="s">
        <v>16</v>
      </c>
      <c r="I68" s="8" t="s">
        <v>195</v>
      </c>
      <c r="K68" s="8" t="str">
        <f t="shared" si="1"/>
        <v>SAP</v>
      </c>
    </row>
    <row r="69" spans="1:11" ht="32" hidden="1" x14ac:dyDescent="0.2">
      <c r="A69" s="8" t="s">
        <v>1</v>
      </c>
      <c r="B69" s="8" t="s">
        <v>2</v>
      </c>
      <c r="C69" s="9" t="s">
        <v>84</v>
      </c>
      <c r="D69" s="9" t="s">
        <v>86</v>
      </c>
      <c r="F69" s="10" t="s">
        <v>11</v>
      </c>
      <c r="G69" s="8" t="s">
        <v>178</v>
      </c>
      <c r="H69" s="8" t="s">
        <v>14</v>
      </c>
      <c r="I69" s="8" t="s">
        <v>177</v>
      </c>
      <c r="K69" s="8" t="str">
        <f t="shared" si="1"/>
        <v>SAP</v>
      </c>
    </row>
    <row r="70" spans="1:11" ht="32" hidden="1" x14ac:dyDescent="0.2">
      <c r="B70" s="8" t="s">
        <v>2</v>
      </c>
      <c r="C70" s="9" t="s">
        <v>84</v>
      </c>
      <c r="D70" s="9" t="s">
        <v>85</v>
      </c>
      <c r="F70" s="10" t="s">
        <v>11</v>
      </c>
      <c r="G70" s="8" t="s">
        <v>178</v>
      </c>
      <c r="H70" s="8" t="s">
        <v>14</v>
      </c>
      <c r="I70" s="8" t="s">
        <v>177</v>
      </c>
      <c r="K70" s="8" t="str">
        <f t="shared" si="1"/>
        <v>SAP</v>
      </c>
    </row>
    <row r="71" spans="1:11" ht="32" hidden="1" x14ac:dyDescent="0.2">
      <c r="A71" s="8" t="s">
        <v>1</v>
      </c>
      <c r="B71" s="8" t="s">
        <v>2</v>
      </c>
      <c r="C71" s="9" t="s">
        <v>87</v>
      </c>
      <c r="D71" s="9" t="s">
        <v>88</v>
      </c>
      <c r="F71" s="10" t="s">
        <v>11</v>
      </c>
      <c r="G71" s="8" t="s">
        <v>205</v>
      </c>
      <c r="H71" s="8" t="s">
        <v>17</v>
      </c>
      <c r="I71" s="8" t="s">
        <v>177</v>
      </c>
      <c r="K71" s="8" t="str">
        <f t="shared" si="1"/>
        <v>SAP</v>
      </c>
    </row>
    <row r="72" spans="1:11" ht="32" hidden="1" x14ac:dyDescent="0.2">
      <c r="A72" s="8" t="s">
        <v>1</v>
      </c>
      <c r="B72" s="8" t="s">
        <v>2</v>
      </c>
      <c r="C72" s="9" t="s">
        <v>89</v>
      </c>
      <c r="D72" s="9" t="s">
        <v>226</v>
      </c>
      <c r="E72" s="9" t="s">
        <v>302</v>
      </c>
      <c r="F72" s="10">
        <v>45771</v>
      </c>
      <c r="G72" s="8" t="s">
        <v>175</v>
      </c>
      <c r="H72" s="8" t="s">
        <v>16</v>
      </c>
      <c r="I72" s="8" t="s">
        <v>195</v>
      </c>
      <c r="K72" s="8" t="str">
        <f t="shared" si="1"/>
        <v>SAP</v>
      </c>
    </row>
    <row r="73" spans="1:11" ht="16" hidden="1" x14ac:dyDescent="0.2">
      <c r="B73" s="8" t="s">
        <v>2</v>
      </c>
      <c r="C73" s="9" t="s">
        <v>225</v>
      </c>
      <c r="D73" s="9" t="s">
        <v>91</v>
      </c>
      <c r="F73" s="10" t="s">
        <v>9</v>
      </c>
      <c r="G73" s="8" t="s">
        <v>214</v>
      </c>
      <c r="H73" s="8" t="s">
        <v>212</v>
      </c>
      <c r="I73" s="8" t="s">
        <v>177</v>
      </c>
      <c r="K73" s="8" t="str">
        <f t="shared" si="1"/>
        <v>SAP</v>
      </c>
    </row>
    <row r="74" spans="1:11" ht="16" hidden="1" x14ac:dyDescent="0.2">
      <c r="B74" s="8" t="s">
        <v>2</v>
      </c>
      <c r="C74" s="9" t="s">
        <v>225</v>
      </c>
      <c r="D74" s="9" t="s">
        <v>237</v>
      </c>
      <c r="F74" s="10" t="s">
        <v>9</v>
      </c>
      <c r="G74" s="8" t="s">
        <v>214</v>
      </c>
      <c r="H74" s="8" t="s">
        <v>212</v>
      </c>
      <c r="I74" s="8" t="s">
        <v>177</v>
      </c>
      <c r="K74" s="8" t="str">
        <f t="shared" si="1"/>
        <v>SAP</v>
      </c>
    </row>
    <row r="75" spans="1:11" ht="16" hidden="1" x14ac:dyDescent="0.2">
      <c r="B75" s="8" t="s">
        <v>2</v>
      </c>
      <c r="C75" s="9" t="s">
        <v>89</v>
      </c>
      <c r="D75" s="9" t="s">
        <v>90</v>
      </c>
      <c r="E75" s="9" t="s">
        <v>302</v>
      </c>
      <c r="F75" s="10">
        <v>45771</v>
      </c>
      <c r="G75" s="8" t="s">
        <v>175</v>
      </c>
      <c r="H75" s="8" t="s">
        <v>16</v>
      </c>
      <c r="I75" s="8" t="s">
        <v>195</v>
      </c>
      <c r="K75" s="8" t="str">
        <f t="shared" si="1"/>
        <v>SAP</v>
      </c>
    </row>
    <row r="76" spans="1:11" ht="48" hidden="1" x14ac:dyDescent="0.2">
      <c r="A76" s="8" t="s">
        <v>1</v>
      </c>
      <c r="B76" s="8" t="s">
        <v>2</v>
      </c>
      <c r="C76" s="9" t="s">
        <v>92</v>
      </c>
      <c r="D76" s="9" t="s">
        <v>93</v>
      </c>
      <c r="E76" s="9" t="s">
        <v>265</v>
      </c>
      <c r="F76" s="10" t="s">
        <v>12</v>
      </c>
      <c r="G76" s="8" t="s">
        <v>238</v>
      </c>
      <c r="H76" s="8" t="s">
        <v>239</v>
      </c>
      <c r="I76" s="8" t="s">
        <v>177</v>
      </c>
      <c r="K76" s="8" t="str">
        <f t="shared" si="1"/>
        <v>SAP</v>
      </c>
    </row>
    <row r="77" spans="1:11" ht="48" hidden="1" x14ac:dyDescent="0.2">
      <c r="A77" s="8" t="s">
        <v>1</v>
      </c>
      <c r="B77" s="8" t="s">
        <v>2</v>
      </c>
      <c r="C77" s="9" t="s">
        <v>94</v>
      </c>
      <c r="D77" s="9" t="s">
        <v>95</v>
      </c>
      <c r="E77" s="9" t="s">
        <v>266</v>
      </c>
      <c r="F77" s="10">
        <v>45764</v>
      </c>
      <c r="G77" s="9" t="s">
        <v>214</v>
      </c>
      <c r="H77" s="9" t="s">
        <v>207</v>
      </c>
      <c r="I77" s="8" t="s">
        <v>219</v>
      </c>
      <c r="J77" s="9" t="s">
        <v>311</v>
      </c>
      <c r="K77" s="8" t="str">
        <f t="shared" si="1"/>
        <v>SAP</v>
      </c>
    </row>
    <row r="78" spans="1:11" ht="16" hidden="1" x14ac:dyDescent="0.2">
      <c r="A78" s="8" t="s">
        <v>1</v>
      </c>
      <c r="B78" s="8" t="s">
        <v>2</v>
      </c>
      <c r="C78" s="9" t="s">
        <v>3</v>
      </c>
      <c r="D78" s="9" t="s">
        <v>101</v>
      </c>
      <c r="F78" s="10" t="s">
        <v>11</v>
      </c>
      <c r="G78" s="8" t="s">
        <v>193</v>
      </c>
      <c r="H78" s="8" t="s">
        <v>3</v>
      </c>
      <c r="I78" s="8" t="s">
        <v>177</v>
      </c>
      <c r="K78" s="8" t="str">
        <f t="shared" si="1"/>
        <v>SAP</v>
      </c>
    </row>
    <row r="79" spans="1:11" ht="16" hidden="1" x14ac:dyDescent="0.2">
      <c r="B79" s="8" t="s">
        <v>2</v>
      </c>
      <c r="C79" s="9" t="s">
        <v>3</v>
      </c>
      <c r="D79" s="9" t="s">
        <v>96</v>
      </c>
      <c r="F79" s="10" t="s">
        <v>11</v>
      </c>
      <c r="G79" s="8" t="s">
        <v>193</v>
      </c>
      <c r="H79" s="8" t="s">
        <v>3</v>
      </c>
      <c r="I79" s="8" t="s">
        <v>177</v>
      </c>
      <c r="K79" s="8" t="str">
        <f t="shared" si="1"/>
        <v>SAP</v>
      </c>
    </row>
    <row r="80" spans="1:11" ht="32" hidden="1" x14ac:dyDescent="0.2">
      <c r="B80" s="8" t="s">
        <v>2</v>
      </c>
      <c r="C80" s="9" t="s">
        <v>3</v>
      </c>
      <c r="D80" s="9" t="s">
        <v>97</v>
      </c>
      <c r="F80" s="10" t="s">
        <v>11</v>
      </c>
      <c r="G80" s="8" t="s">
        <v>193</v>
      </c>
      <c r="H80" s="8" t="s">
        <v>3</v>
      </c>
      <c r="I80" s="8" t="s">
        <v>177</v>
      </c>
      <c r="K80" s="8" t="str">
        <f t="shared" si="1"/>
        <v>SAP</v>
      </c>
    </row>
    <row r="81" spans="1:11" ht="16" hidden="1" x14ac:dyDescent="0.2">
      <c r="B81" s="8" t="s">
        <v>2</v>
      </c>
      <c r="C81" s="9" t="s">
        <v>3</v>
      </c>
      <c r="D81" s="9" t="s">
        <v>98</v>
      </c>
      <c r="F81" s="10" t="s">
        <v>11</v>
      </c>
      <c r="G81" s="8" t="s">
        <v>193</v>
      </c>
      <c r="H81" s="8" t="s">
        <v>3</v>
      </c>
      <c r="I81" s="8" t="s">
        <v>177</v>
      </c>
      <c r="K81" s="8" t="str">
        <f t="shared" si="1"/>
        <v>SAP</v>
      </c>
    </row>
    <row r="82" spans="1:11" ht="16" hidden="1" x14ac:dyDescent="0.2">
      <c r="B82" s="8" t="s">
        <v>2</v>
      </c>
      <c r="C82" s="9" t="s">
        <v>3</v>
      </c>
      <c r="D82" s="9" t="s">
        <v>99</v>
      </c>
      <c r="F82" s="10" t="s">
        <v>11</v>
      </c>
      <c r="G82" s="8" t="s">
        <v>193</v>
      </c>
      <c r="H82" s="8" t="s">
        <v>3</v>
      </c>
      <c r="I82" s="8" t="s">
        <v>177</v>
      </c>
      <c r="K82" s="8" t="str">
        <f t="shared" si="1"/>
        <v>SAP</v>
      </c>
    </row>
    <row r="83" spans="1:11" ht="16" hidden="1" x14ac:dyDescent="0.2">
      <c r="B83" s="8" t="s">
        <v>2</v>
      </c>
      <c r="C83" s="9" t="s">
        <v>3</v>
      </c>
      <c r="D83" s="9" t="s">
        <v>100</v>
      </c>
      <c r="F83" s="10" t="s">
        <v>11</v>
      </c>
      <c r="G83" s="8" t="s">
        <v>193</v>
      </c>
      <c r="H83" s="8" t="s">
        <v>3</v>
      </c>
      <c r="I83" s="8" t="s">
        <v>177</v>
      </c>
      <c r="K83" s="8" t="str">
        <f t="shared" si="1"/>
        <v>SAP</v>
      </c>
    </row>
    <row r="84" spans="1:11" ht="32" hidden="1" x14ac:dyDescent="0.2">
      <c r="A84" s="8" t="s">
        <v>1</v>
      </c>
      <c r="B84" s="8" t="s">
        <v>2</v>
      </c>
      <c r="C84" s="9" t="s">
        <v>102</v>
      </c>
      <c r="D84" s="9" t="s">
        <v>105</v>
      </c>
      <c r="F84" s="10" t="s">
        <v>11</v>
      </c>
      <c r="G84" s="8" t="s">
        <v>240</v>
      </c>
      <c r="H84" s="8" t="s">
        <v>241</v>
      </c>
      <c r="I84" s="8" t="s">
        <v>180</v>
      </c>
      <c r="K84" s="8" t="str">
        <f t="shared" si="1"/>
        <v>SAP</v>
      </c>
    </row>
    <row r="85" spans="1:11" ht="32" hidden="1" x14ac:dyDescent="0.2">
      <c r="B85" s="8" t="s">
        <v>2</v>
      </c>
      <c r="C85" s="9" t="s">
        <v>102</v>
      </c>
      <c r="D85" s="9" t="s">
        <v>104</v>
      </c>
      <c r="F85" s="10">
        <v>45758</v>
      </c>
      <c r="G85" s="8" t="s">
        <v>241</v>
      </c>
      <c r="H85" s="8" t="s">
        <v>241</v>
      </c>
      <c r="I85" s="8" t="s">
        <v>180</v>
      </c>
      <c r="K85" s="8" t="str">
        <f t="shared" si="1"/>
        <v>SAP</v>
      </c>
    </row>
    <row r="86" spans="1:11" ht="16" hidden="1" x14ac:dyDescent="0.2">
      <c r="B86" s="8" t="s">
        <v>2</v>
      </c>
      <c r="C86" s="9" t="s">
        <v>102</v>
      </c>
      <c r="D86" s="9" t="s">
        <v>103</v>
      </c>
      <c r="F86" s="10">
        <v>45758</v>
      </c>
      <c r="G86" s="8" t="s">
        <v>241</v>
      </c>
      <c r="H86" s="8" t="s">
        <v>241</v>
      </c>
      <c r="I86" s="8" t="s">
        <v>180</v>
      </c>
      <c r="K86" s="8" t="str">
        <f t="shared" si="1"/>
        <v>SAP</v>
      </c>
    </row>
    <row r="87" spans="1:11" ht="64" hidden="1" x14ac:dyDescent="0.2">
      <c r="A87" s="8" t="s">
        <v>1</v>
      </c>
      <c r="B87" s="8" t="s">
        <v>2</v>
      </c>
      <c r="C87" s="9" t="s">
        <v>227</v>
      </c>
      <c r="D87" s="9" t="s">
        <v>228</v>
      </c>
      <c r="F87" s="10">
        <v>45762</v>
      </c>
      <c r="G87" s="8" t="s">
        <v>218</v>
      </c>
      <c r="H87" s="9" t="s">
        <v>246</v>
      </c>
      <c r="I87" s="8" t="s">
        <v>177</v>
      </c>
      <c r="K87" s="8" t="str">
        <f t="shared" si="1"/>
        <v>SAP</v>
      </c>
    </row>
    <row r="88" spans="1:11" ht="48" hidden="1" x14ac:dyDescent="0.2">
      <c r="A88" s="8" t="s">
        <v>1</v>
      </c>
      <c r="B88" s="8" t="s">
        <v>2</v>
      </c>
      <c r="C88" s="9" t="s">
        <v>106</v>
      </c>
      <c r="D88" s="9" t="s">
        <v>323</v>
      </c>
      <c r="E88" s="9" t="s">
        <v>267</v>
      </c>
      <c r="F88" s="10">
        <v>45764</v>
      </c>
      <c r="G88" s="8" t="s">
        <v>215</v>
      </c>
      <c r="H88" s="8" t="s">
        <v>106</v>
      </c>
      <c r="I88" s="8" t="s">
        <v>195</v>
      </c>
      <c r="K88" s="8" t="str">
        <f t="shared" si="1"/>
        <v>SAP</v>
      </c>
    </row>
    <row r="89" spans="1:11" ht="16" hidden="1" x14ac:dyDescent="0.2">
      <c r="A89" s="8" t="s">
        <v>1</v>
      </c>
      <c r="B89" s="8" t="s">
        <v>39</v>
      </c>
      <c r="C89" s="9" t="s">
        <v>39</v>
      </c>
      <c r="D89" s="9" t="s">
        <v>324</v>
      </c>
      <c r="E89" s="9" t="s">
        <v>308</v>
      </c>
      <c r="F89" s="10">
        <v>45764</v>
      </c>
      <c r="G89" s="8" t="s">
        <v>197</v>
      </c>
      <c r="H89" s="8" t="s">
        <v>213</v>
      </c>
      <c r="I89" s="8" t="s">
        <v>177</v>
      </c>
      <c r="K89" s="8" t="str">
        <f t="shared" si="1"/>
        <v>NETWIN</v>
      </c>
    </row>
    <row r="90" spans="1:11" ht="16" hidden="1" x14ac:dyDescent="0.2">
      <c r="A90" s="8" t="s">
        <v>1</v>
      </c>
      <c r="B90" s="8" t="s">
        <v>38</v>
      </c>
      <c r="C90" s="9" t="s">
        <v>107</v>
      </c>
      <c r="D90" s="9" t="s">
        <v>109</v>
      </c>
      <c r="F90" s="10">
        <v>45754</v>
      </c>
      <c r="G90" s="8" t="s">
        <v>175</v>
      </c>
      <c r="H90" s="8" t="s">
        <v>16</v>
      </c>
      <c r="I90" s="8" t="s">
        <v>177</v>
      </c>
      <c r="K90" s="8" t="str">
        <f t="shared" si="1"/>
        <v>MASTERSAF</v>
      </c>
    </row>
    <row r="91" spans="1:11" ht="16" hidden="1" x14ac:dyDescent="0.2">
      <c r="A91" s="8" t="s">
        <v>1</v>
      </c>
      <c r="B91" s="8" t="s">
        <v>38</v>
      </c>
      <c r="C91" s="9" t="s">
        <v>107</v>
      </c>
      <c r="D91" s="9" t="s">
        <v>108</v>
      </c>
      <c r="F91" s="10">
        <v>45754</v>
      </c>
      <c r="G91" s="8" t="s">
        <v>175</v>
      </c>
      <c r="H91" s="8" t="s">
        <v>16</v>
      </c>
      <c r="I91" s="8" t="s">
        <v>177</v>
      </c>
      <c r="K91" s="8" t="str">
        <f t="shared" si="1"/>
        <v>MASTERSAF</v>
      </c>
    </row>
    <row r="92" spans="1:11" ht="16" hidden="1" x14ac:dyDescent="0.2">
      <c r="A92" s="8" t="s">
        <v>1</v>
      </c>
      <c r="B92" s="8" t="s">
        <v>37</v>
      </c>
      <c r="C92" s="9" t="s">
        <v>110</v>
      </c>
      <c r="D92" s="9" t="s">
        <v>112</v>
      </c>
      <c r="F92" s="10">
        <v>45750</v>
      </c>
      <c r="G92" s="8" t="s">
        <v>19</v>
      </c>
      <c r="H92" s="8" t="s">
        <v>217</v>
      </c>
      <c r="I92" s="8" t="s">
        <v>177</v>
      </c>
      <c r="K92" s="8" t="str">
        <f t="shared" si="1"/>
        <v>TAX ONE / ADD TAX</v>
      </c>
    </row>
    <row r="93" spans="1:11" ht="16" hidden="1" x14ac:dyDescent="0.2">
      <c r="B93" s="8" t="s">
        <v>37</v>
      </c>
      <c r="C93" s="9" t="s">
        <v>110</v>
      </c>
      <c r="D93" s="9" t="s">
        <v>111</v>
      </c>
      <c r="F93" s="10">
        <v>45750</v>
      </c>
      <c r="G93" s="8" t="s">
        <v>218</v>
      </c>
      <c r="H93" s="8" t="s">
        <v>20</v>
      </c>
      <c r="I93" s="8" t="s">
        <v>177</v>
      </c>
      <c r="K93" s="8" t="str">
        <f t="shared" si="1"/>
        <v>TAX ONE / ADD TAX</v>
      </c>
    </row>
    <row r="94" spans="1:11" ht="48" hidden="1" x14ac:dyDescent="0.2">
      <c r="A94" s="8" t="s">
        <v>1</v>
      </c>
      <c r="B94" s="8" t="s">
        <v>36</v>
      </c>
      <c r="C94" s="9" t="s">
        <v>113</v>
      </c>
      <c r="D94" s="9" t="s">
        <v>325</v>
      </c>
      <c r="E94" s="9" t="s">
        <v>280</v>
      </c>
      <c r="F94" s="10">
        <v>45772</v>
      </c>
      <c r="G94" s="8" t="s">
        <v>312</v>
      </c>
      <c r="H94" s="8" t="s">
        <v>212</v>
      </c>
      <c r="I94" s="8" t="s">
        <v>195</v>
      </c>
      <c r="K94" s="8" t="str">
        <f t="shared" si="1"/>
        <v>NEOGRID</v>
      </c>
    </row>
    <row r="95" spans="1:11" ht="16" hidden="1" x14ac:dyDescent="0.2">
      <c r="A95" s="8" t="s">
        <v>1</v>
      </c>
      <c r="B95" s="8" t="s">
        <v>35</v>
      </c>
      <c r="C95" s="9" t="s">
        <v>114</v>
      </c>
      <c r="D95" s="9" t="s">
        <v>117</v>
      </c>
      <c r="E95" s="9" t="s">
        <v>285</v>
      </c>
      <c r="F95" s="10">
        <v>45777</v>
      </c>
      <c r="G95" s="8" t="s">
        <v>198</v>
      </c>
      <c r="H95" s="8" t="s">
        <v>200</v>
      </c>
      <c r="I95" s="8" t="s">
        <v>195</v>
      </c>
      <c r="K95" s="8" t="str">
        <f t="shared" si="1"/>
        <v>COMPLY</v>
      </c>
    </row>
    <row r="96" spans="1:11" ht="16" hidden="1" x14ac:dyDescent="0.2">
      <c r="A96" s="8" t="s">
        <v>1</v>
      </c>
      <c r="B96" s="8" t="s">
        <v>35</v>
      </c>
      <c r="C96" s="9" t="s">
        <v>114</v>
      </c>
      <c r="D96" s="9" t="s">
        <v>116</v>
      </c>
      <c r="E96" s="9" t="s">
        <v>271</v>
      </c>
      <c r="F96" s="10">
        <v>45777</v>
      </c>
      <c r="G96" s="8" t="s">
        <v>198</v>
      </c>
      <c r="H96" s="8" t="s">
        <v>200</v>
      </c>
      <c r="I96" s="8" t="s">
        <v>195</v>
      </c>
      <c r="K96" s="8" t="str">
        <f t="shared" si="1"/>
        <v>COMPLY</v>
      </c>
    </row>
    <row r="97" spans="1:11" ht="16" hidden="1" x14ac:dyDescent="0.2">
      <c r="A97" s="8" t="s">
        <v>1</v>
      </c>
      <c r="B97" s="8" t="s">
        <v>35</v>
      </c>
      <c r="C97" s="9" t="s">
        <v>114</v>
      </c>
      <c r="D97" s="9" t="s">
        <v>115</v>
      </c>
      <c r="E97" s="9" t="s">
        <v>303</v>
      </c>
      <c r="F97" s="10">
        <v>45777</v>
      </c>
      <c r="G97" s="8" t="s">
        <v>175</v>
      </c>
      <c r="H97" s="8" t="s">
        <v>16</v>
      </c>
      <c r="I97" s="8" t="s">
        <v>195</v>
      </c>
      <c r="K97" s="8" t="str">
        <f t="shared" si="1"/>
        <v>COMPLY</v>
      </c>
    </row>
    <row r="98" spans="1:11" ht="32" hidden="1" x14ac:dyDescent="0.2">
      <c r="A98" s="8" t="s">
        <v>1</v>
      </c>
      <c r="B98" s="8" t="s">
        <v>34</v>
      </c>
      <c r="C98" s="9" t="s">
        <v>34</v>
      </c>
      <c r="D98" s="9" t="s">
        <v>118</v>
      </c>
      <c r="E98" s="9" t="s">
        <v>286</v>
      </c>
      <c r="F98" s="10">
        <v>45764</v>
      </c>
      <c r="G98" s="8" t="s">
        <v>181</v>
      </c>
      <c r="H98" s="8" t="s">
        <v>210</v>
      </c>
      <c r="I98" s="8" t="s">
        <v>195</v>
      </c>
      <c r="K98" s="8" t="str">
        <f t="shared" si="1"/>
        <v>NEXXERA</v>
      </c>
    </row>
    <row r="99" spans="1:11" ht="32" hidden="1" x14ac:dyDescent="0.2">
      <c r="A99" s="8" t="s">
        <v>1</v>
      </c>
      <c r="B99" s="8" t="s">
        <v>33</v>
      </c>
      <c r="C99" s="9" t="s">
        <v>119</v>
      </c>
      <c r="D99" s="9" t="s">
        <v>230</v>
      </c>
      <c r="F99" s="10" t="s">
        <v>8</v>
      </c>
      <c r="G99" s="8" t="s">
        <v>206</v>
      </c>
      <c r="H99" s="8" t="s">
        <v>242</v>
      </c>
      <c r="I99" s="8" t="s">
        <v>177</v>
      </c>
      <c r="K99" s="8" t="str">
        <f t="shared" si="1"/>
        <v>FROTA</v>
      </c>
    </row>
    <row r="100" spans="1:11" ht="16" hidden="1" x14ac:dyDescent="0.2">
      <c r="A100" s="8" t="s">
        <v>1</v>
      </c>
      <c r="B100" s="8" t="s">
        <v>32</v>
      </c>
      <c r="C100" s="9" t="s">
        <v>79</v>
      </c>
      <c r="D100" s="9" t="s">
        <v>231</v>
      </c>
      <c r="F100" s="10">
        <v>45762</v>
      </c>
      <c r="G100" s="8" t="s">
        <v>206</v>
      </c>
      <c r="H100" s="8" t="s">
        <v>242</v>
      </c>
      <c r="I100" s="8" t="s">
        <v>177</v>
      </c>
      <c r="K100" s="8" t="str">
        <f t="shared" si="1"/>
        <v>TRAVEL</v>
      </c>
    </row>
    <row r="101" spans="1:11" ht="32" hidden="1" x14ac:dyDescent="0.2">
      <c r="A101" s="8" t="s">
        <v>1</v>
      </c>
      <c r="B101" s="8" t="s">
        <v>3</v>
      </c>
      <c r="C101" s="9" t="s">
        <v>120</v>
      </c>
      <c r="D101" s="9" t="s">
        <v>123</v>
      </c>
      <c r="E101" s="9" t="s">
        <v>272</v>
      </c>
      <c r="F101" s="10">
        <v>45764</v>
      </c>
      <c r="G101" s="8" t="s">
        <v>193</v>
      </c>
      <c r="H101" s="8" t="s">
        <v>3</v>
      </c>
      <c r="I101" s="8" t="s">
        <v>309</v>
      </c>
      <c r="K101" s="8" t="str">
        <f t="shared" si="1"/>
        <v>Posto Fiscal</v>
      </c>
    </row>
    <row r="102" spans="1:11" ht="16" hidden="1" x14ac:dyDescent="0.2">
      <c r="A102" s="8" t="s">
        <v>1</v>
      </c>
      <c r="B102" s="8" t="s">
        <v>232</v>
      </c>
      <c r="C102" s="9" t="s">
        <v>233</v>
      </c>
      <c r="D102" s="9" t="s">
        <v>234</v>
      </c>
      <c r="F102" s="10" t="s">
        <v>7</v>
      </c>
      <c r="G102" s="8" t="s">
        <v>218</v>
      </c>
      <c r="H102" s="8" t="s">
        <v>20</v>
      </c>
      <c r="I102" s="8" t="s">
        <v>219</v>
      </c>
      <c r="K102" s="8" t="str">
        <f t="shared" si="1"/>
        <v>PORTAL LOGISTI OiCA</v>
      </c>
    </row>
    <row r="103" spans="1:11" ht="16" hidden="1" x14ac:dyDescent="0.2">
      <c r="A103" s="8" t="s">
        <v>1</v>
      </c>
      <c r="B103" s="8" t="s">
        <v>31</v>
      </c>
      <c r="C103" s="9" t="s">
        <v>121</v>
      </c>
      <c r="D103" s="9" t="s">
        <v>124</v>
      </c>
      <c r="F103" s="10" t="s">
        <v>7</v>
      </c>
      <c r="G103" s="8" t="s">
        <v>218</v>
      </c>
      <c r="H103" s="8" t="s">
        <v>243</v>
      </c>
      <c r="I103" s="8" t="s">
        <v>219</v>
      </c>
      <c r="K103" s="8" t="str">
        <f t="shared" si="1"/>
        <v>PORTAL DO</v>
      </c>
    </row>
    <row r="104" spans="1:11" ht="16" hidden="1" x14ac:dyDescent="0.2">
      <c r="A104" s="8" t="s">
        <v>1</v>
      </c>
      <c r="B104" s="8" t="s">
        <v>30</v>
      </c>
      <c r="C104" s="9" t="s">
        <v>122</v>
      </c>
      <c r="D104" s="9" t="s">
        <v>124</v>
      </c>
      <c r="F104" s="10" t="s">
        <v>7</v>
      </c>
      <c r="G104" s="8" t="s">
        <v>218</v>
      </c>
      <c r="H104" s="8" t="s">
        <v>20</v>
      </c>
      <c r="I104" s="8" t="s">
        <v>219</v>
      </c>
      <c r="K104" s="8" t="str">
        <f t="shared" si="1"/>
        <v>PORTAL CRM</v>
      </c>
    </row>
    <row r="105" spans="1:11" ht="16" hidden="1" x14ac:dyDescent="0.2">
      <c r="A105" s="8" t="s">
        <v>1</v>
      </c>
      <c r="B105" s="8" t="s">
        <v>29</v>
      </c>
      <c r="C105" s="9" t="s">
        <v>125</v>
      </c>
      <c r="D105" s="9" t="s">
        <v>273</v>
      </c>
      <c r="E105" s="9" t="s">
        <v>304</v>
      </c>
      <c r="F105" s="10">
        <v>45763</v>
      </c>
      <c r="G105" s="8" t="s">
        <v>175</v>
      </c>
      <c r="H105" s="8" t="s">
        <v>16</v>
      </c>
      <c r="I105" s="8" t="s">
        <v>195</v>
      </c>
      <c r="K105" s="8" t="str">
        <f t="shared" si="1"/>
        <v>PORTAL CLCO</v>
      </c>
    </row>
    <row r="106" spans="1:11" ht="16" hidden="1" x14ac:dyDescent="0.2">
      <c r="A106" s="8" t="s">
        <v>1</v>
      </c>
      <c r="B106" s="8" t="s">
        <v>28</v>
      </c>
      <c r="C106" s="9" t="s">
        <v>28</v>
      </c>
      <c r="D106" s="9" t="s">
        <v>274</v>
      </c>
      <c r="E106" s="9" t="s">
        <v>275</v>
      </c>
      <c r="F106" s="10">
        <v>45764</v>
      </c>
      <c r="G106" s="8" t="s">
        <v>245</v>
      </c>
      <c r="H106" s="8" t="s">
        <v>244</v>
      </c>
      <c r="I106" s="8" t="s">
        <v>195</v>
      </c>
      <c r="K106" s="8" t="str">
        <f t="shared" si="1"/>
        <v>GMS</v>
      </c>
    </row>
    <row r="107" spans="1:11" ht="16" hidden="1" x14ac:dyDescent="0.2">
      <c r="A107" s="8" t="s">
        <v>1</v>
      </c>
      <c r="B107" s="8" t="s">
        <v>28</v>
      </c>
      <c r="C107" s="9" t="s">
        <v>28</v>
      </c>
      <c r="D107" s="9" t="s">
        <v>276</v>
      </c>
      <c r="E107" s="9" t="s">
        <v>277</v>
      </c>
      <c r="F107" s="10">
        <v>45764</v>
      </c>
      <c r="G107" s="8" t="s">
        <v>245</v>
      </c>
      <c r="H107" s="8" t="s">
        <v>244</v>
      </c>
      <c r="I107" s="8" t="s">
        <v>195</v>
      </c>
      <c r="K107" s="8" t="str">
        <f t="shared" si="1"/>
        <v>GMS</v>
      </c>
    </row>
    <row r="108" spans="1:11" ht="32" hidden="1" x14ac:dyDescent="0.2">
      <c r="A108" s="8" t="s">
        <v>1</v>
      </c>
      <c r="B108" s="8" t="s">
        <v>28</v>
      </c>
      <c r="C108" s="9" t="s">
        <v>28</v>
      </c>
      <c r="D108" s="9" t="s">
        <v>126</v>
      </c>
      <c r="E108" s="9" t="s">
        <v>305</v>
      </c>
      <c r="F108" s="10">
        <v>45764</v>
      </c>
      <c r="G108" s="8" t="s">
        <v>175</v>
      </c>
      <c r="H108" s="8" t="s">
        <v>16</v>
      </c>
      <c r="I108" s="8" t="s">
        <v>195</v>
      </c>
      <c r="K108" s="8" t="str">
        <f t="shared" si="1"/>
        <v>GMS</v>
      </c>
    </row>
    <row r="109" spans="1:11" ht="16" hidden="1" x14ac:dyDescent="0.2">
      <c r="A109" s="8" t="s">
        <v>1</v>
      </c>
      <c r="B109" s="8" t="s">
        <v>27</v>
      </c>
      <c r="C109" s="9" t="s">
        <v>127</v>
      </c>
      <c r="D109" s="9" t="s">
        <v>130</v>
      </c>
      <c r="F109" s="10" t="s">
        <v>7</v>
      </c>
      <c r="G109" s="8" t="s">
        <v>218</v>
      </c>
      <c r="H109" s="8" t="s">
        <v>229</v>
      </c>
      <c r="I109" s="8" t="s">
        <v>219</v>
      </c>
      <c r="K109" s="8" t="str">
        <f t="shared" si="1"/>
        <v>PIPEFY</v>
      </c>
    </row>
    <row r="110" spans="1:11" ht="32" hidden="1" x14ac:dyDescent="0.2">
      <c r="A110" s="8" t="s">
        <v>1</v>
      </c>
      <c r="B110" s="8" t="s">
        <v>26</v>
      </c>
      <c r="C110" s="9" t="s">
        <v>128</v>
      </c>
      <c r="D110" s="9" t="s">
        <v>131</v>
      </c>
      <c r="E110" s="9" t="s">
        <v>306</v>
      </c>
      <c r="F110" s="10">
        <v>45777</v>
      </c>
      <c r="G110" s="8" t="s">
        <v>175</v>
      </c>
      <c r="H110" s="8" t="s">
        <v>16</v>
      </c>
      <c r="I110" s="8" t="s">
        <v>195</v>
      </c>
      <c r="K110" s="8" t="str">
        <f t="shared" si="1"/>
        <v>GESTECH</v>
      </c>
    </row>
    <row r="111" spans="1:11" ht="16" hidden="1" x14ac:dyDescent="0.2">
      <c r="A111" s="8" t="s">
        <v>1</v>
      </c>
      <c r="B111" s="8" t="s">
        <v>25</v>
      </c>
      <c r="C111" s="9" t="s">
        <v>129</v>
      </c>
      <c r="D111" s="9" t="s">
        <v>132</v>
      </c>
      <c r="E111" s="9" t="s">
        <v>281</v>
      </c>
      <c r="F111" s="10">
        <v>45764</v>
      </c>
      <c r="G111" s="8" t="s">
        <v>216</v>
      </c>
      <c r="H111" s="8" t="s">
        <v>18</v>
      </c>
      <c r="I111" s="8" t="s">
        <v>195</v>
      </c>
      <c r="K111" s="8" t="str">
        <f t="shared" si="1"/>
        <v>CLICK</v>
      </c>
    </row>
    <row r="112" spans="1:11" ht="16" hidden="1" x14ac:dyDescent="0.2">
      <c r="A112" s="8" t="s">
        <v>1</v>
      </c>
      <c r="B112" s="8" t="s">
        <v>24</v>
      </c>
      <c r="C112" s="9" t="s">
        <v>24</v>
      </c>
      <c r="D112" s="9" t="s">
        <v>133</v>
      </c>
      <c r="F112" s="10">
        <v>45749</v>
      </c>
      <c r="G112" s="8" t="s">
        <v>216</v>
      </c>
      <c r="H112" s="8" t="s">
        <v>18</v>
      </c>
      <c r="I112" s="8" t="s">
        <v>177</v>
      </c>
      <c r="K112" s="8" t="str">
        <f t="shared" si="1"/>
        <v>FSL</v>
      </c>
    </row>
    <row r="113" spans="1:11" ht="32" hidden="1" x14ac:dyDescent="0.2">
      <c r="A113" s="8" t="s">
        <v>1</v>
      </c>
      <c r="B113" s="8" t="s">
        <v>23</v>
      </c>
      <c r="C113" s="8" t="s">
        <v>23</v>
      </c>
      <c r="D113" s="9" t="s">
        <v>235</v>
      </c>
      <c r="E113" s="9" t="s">
        <v>307</v>
      </c>
      <c r="F113" s="10">
        <v>45764</v>
      </c>
      <c r="G113" s="8" t="s">
        <v>175</v>
      </c>
      <c r="H113" s="8" t="s">
        <v>16</v>
      </c>
      <c r="I113" s="8" t="s">
        <v>195</v>
      </c>
      <c r="K113" s="8" t="str">
        <f t="shared" si="1"/>
        <v>GLPI/CMDB</v>
      </c>
    </row>
    <row r="114" spans="1:11" ht="32" hidden="1" x14ac:dyDescent="0.2">
      <c r="A114" s="8" t="s">
        <v>1</v>
      </c>
      <c r="B114" s="8" t="s">
        <v>22</v>
      </c>
      <c r="C114" s="9" t="s">
        <v>135</v>
      </c>
      <c r="D114" s="9" t="s">
        <v>134</v>
      </c>
      <c r="E114" s="9" t="s">
        <v>282</v>
      </c>
      <c r="F114" s="10">
        <v>45763</v>
      </c>
      <c r="G114" s="8" t="s">
        <v>218</v>
      </c>
      <c r="H114" s="8" t="s">
        <v>20</v>
      </c>
      <c r="I114" s="8" t="s">
        <v>195</v>
      </c>
      <c r="K114" s="8" t="str">
        <f t="shared" si="1"/>
        <v>ITSM</v>
      </c>
    </row>
    <row r="115" spans="1:11" ht="32" hidden="1" x14ac:dyDescent="0.2">
      <c r="A115" s="8" t="s">
        <v>1</v>
      </c>
      <c r="B115" s="8" t="s">
        <v>22</v>
      </c>
      <c r="C115" s="9" t="s">
        <v>135</v>
      </c>
      <c r="D115" s="9" t="s">
        <v>278</v>
      </c>
      <c r="E115" s="9" t="s">
        <v>283</v>
      </c>
      <c r="F115" s="10">
        <v>45763</v>
      </c>
      <c r="G115" s="8" t="s">
        <v>218</v>
      </c>
      <c r="H115" s="8" t="s">
        <v>20</v>
      </c>
      <c r="I115" s="8" t="s">
        <v>195</v>
      </c>
      <c r="K115" s="8" t="str">
        <f t="shared" si="1"/>
        <v>ITSM</v>
      </c>
    </row>
    <row r="116" spans="1:11" ht="16" hidden="1" x14ac:dyDescent="0.2">
      <c r="A116" s="8" t="s">
        <v>1</v>
      </c>
      <c r="B116" s="8" t="s">
        <v>21</v>
      </c>
      <c r="C116" s="9" t="s">
        <v>21</v>
      </c>
    </row>
  </sheetData>
  <autoFilter ref="A1:I116" xr:uid="{00000000-0001-0000-0000-000000000000}">
    <filterColumn colId="6">
      <filters>
        <filter val="Alan/Duhare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Pivot</vt:lpstr>
      <vt:lpstr>Ações mapeadas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Barbosa</cp:lastModifiedBy>
  <dcterms:created xsi:type="dcterms:W3CDTF">2025-04-15T13:07:58Z</dcterms:created>
  <dcterms:modified xsi:type="dcterms:W3CDTF">2025-04-22T15:03:26Z</dcterms:modified>
</cp:coreProperties>
</file>