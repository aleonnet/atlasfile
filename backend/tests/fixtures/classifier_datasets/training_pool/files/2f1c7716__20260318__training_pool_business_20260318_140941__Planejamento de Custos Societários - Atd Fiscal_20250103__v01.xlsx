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oi400092\Documents\PROJETOS M&amp;A_2022 2023 2024\M&amp;A\TVCo\Societário\"/>
    </mc:Choice>
  </mc:AlternateContent>
  <bookViews>
    <workbookView xWindow="0" yWindow="0" windowWidth="20490" windowHeight="7320" tabRatio="722"/>
  </bookViews>
  <sheets>
    <sheet name="Resumo" sheetId="5" r:id="rId1"/>
    <sheet name="CREA" sheetId="6" r:id="rId2"/>
    <sheet name="Custos De Compra CNPJ - Societ." sheetId="1" r:id="rId3"/>
    <sheet name="Custos para Abertura de Filiais" sheetId="2" r:id="rId4"/>
    <sheet name="Aluguel_Oi e 3º_Previsão" sheetId="7" r:id="rId5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9" i="5" l="1"/>
  <c r="D19" i="5"/>
  <c r="G33" i="7"/>
  <c r="H29" i="7"/>
  <c r="G31" i="7"/>
  <c r="G29" i="7" l="1"/>
  <c r="D14" i="5" l="1"/>
  <c r="E14" i="5"/>
  <c r="D13" i="5"/>
  <c r="E13" i="5"/>
  <c r="D16" i="5"/>
  <c r="E16" i="5"/>
  <c r="D2" i="2"/>
  <c r="D3" i="2"/>
  <c r="D9" i="5"/>
  <c r="E9" i="5"/>
  <c r="J7" i="2"/>
  <c r="H6" i="5"/>
  <c r="C5" i="5"/>
  <c r="F7" i="2" l="1"/>
  <c r="C6" i="5" l="1"/>
  <c r="C26" i="2"/>
  <c r="I7" i="2"/>
  <c r="K7" i="2"/>
  <c r="D34" i="2"/>
  <c r="C34" i="2" s="1"/>
  <c r="D33" i="2"/>
  <c r="C33" i="2" s="1"/>
  <c r="D32" i="2"/>
  <c r="C32" i="2" s="1"/>
  <c r="D31" i="2"/>
  <c r="C31" i="2" s="1"/>
  <c r="D30" i="2"/>
  <c r="C30" i="2" s="1"/>
  <c r="D29" i="2"/>
  <c r="C29" i="2" s="1"/>
  <c r="D28" i="2"/>
  <c r="C28" i="2" s="1"/>
  <c r="D27" i="2"/>
  <c r="C27" i="2" s="1"/>
  <c r="D9" i="2"/>
  <c r="C9" i="2" s="1"/>
  <c r="D10" i="2"/>
  <c r="C10" i="2" s="1"/>
  <c r="D11" i="2"/>
  <c r="C11" i="2" s="1"/>
  <c r="D12" i="2"/>
  <c r="C12" i="2" s="1"/>
  <c r="D13" i="2"/>
  <c r="C13" i="2" s="1"/>
  <c r="D14" i="2"/>
  <c r="C14" i="2" s="1"/>
  <c r="D15" i="2"/>
  <c r="C15" i="2" s="1"/>
  <c r="D16" i="2"/>
  <c r="C16" i="2" s="1"/>
  <c r="D17" i="2"/>
  <c r="C17" i="2" s="1"/>
  <c r="D18" i="2"/>
  <c r="C18" i="2" s="1"/>
  <c r="D19" i="2"/>
  <c r="C19" i="2" s="1"/>
  <c r="D20" i="2"/>
  <c r="C20" i="2" s="1"/>
  <c r="D21" i="2"/>
  <c r="C21" i="2" s="1"/>
  <c r="D22" i="2"/>
  <c r="C22" i="2" s="1"/>
  <c r="D23" i="2"/>
  <c r="C23" i="2" s="1"/>
  <c r="D24" i="2"/>
  <c r="C24" i="2" s="1"/>
  <c r="D25" i="2"/>
  <c r="C25" i="2" s="1"/>
  <c r="D8" i="2"/>
  <c r="C8" i="2" s="1"/>
  <c r="E7" i="2"/>
  <c r="G7" i="2"/>
  <c r="H7" i="2"/>
  <c r="D7" i="2" l="1"/>
  <c r="C7" i="2" l="1"/>
  <c r="E31" i="1" s="1"/>
  <c r="E32" i="1" s="1"/>
  <c r="L7" i="2"/>
  <c r="C8" i="5"/>
  <c r="C7" i="5"/>
  <c r="C16" i="5" s="1"/>
  <c r="B5" i="5"/>
  <c r="C4" i="5"/>
  <c r="B4" i="5"/>
  <c r="F33" i="1" l="1"/>
  <c r="C12" i="5" s="1"/>
  <c r="F32" i="1"/>
  <c r="C14" i="5" s="1"/>
  <c r="F31" i="1"/>
  <c r="C13" i="5" s="1"/>
  <c r="E4" i="1"/>
  <c r="E20" i="1"/>
  <c r="E25" i="1"/>
  <c r="D12" i="5" l="1"/>
  <c r="D17" i="5" s="1"/>
  <c r="D21" i="5" s="1"/>
  <c r="E12" i="5"/>
  <c r="E17" i="5" s="1"/>
  <c r="E21" i="5" s="1"/>
  <c r="F34" i="1"/>
  <c r="F36" i="1" s="1"/>
  <c r="C22" i="1"/>
  <c r="C17" i="5" l="1"/>
  <c r="E22" i="1"/>
  <c r="E27" i="1" s="1"/>
  <c r="C9" i="5"/>
  <c r="C21" i="5" l="1"/>
</calcChain>
</file>

<file path=xl/sharedStrings.xml><?xml version="1.0" encoding="utf-8"?>
<sst xmlns="http://schemas.openxmlformats.org/spreadsheetml/2006/main" count="232" uniqueCount="148">
  <si>
    <t>Aquisição CNPJ</t>
  </si>
  <si>
    <t>Custos de ATD à fiscalização para matriz* (1 no RJ)</t>
  </si>
  <si>
    <t>Certificado Digital</t>
  </si>
  <si>
    <t>Total</t>
  </si>
  <si>
    <t xml:space="preserve">Abertura de Filiais </t>
  </si>
  <si>
    <t>Procurações públicas da ClientCo (13 despachantes, sendo R$ 550 por procuração)</t>
  </si>
  <si>
    <t>(*) Itens envolvidos</t>
  </si>
  <si>
    <t>Confecção de DBE junto a Receita Federal para Abertura de Filial</t>
  </si>
  <si>
    <t>Inscrição do CNPJ</t>
  </si>
  <si>
    <t xml:space="preserve">Inscrição Municipal </t>
  </si>
  <si>
    <t>Alvará de Funcionamento</t>
  </si>
  <si>
    <t>Segue os valores envolvidos referentes as Taxas do CREA praticados em 2024.</t>
  </si>
  <si>
    <t>Taxa ART Cargo e Função (Profissional)</t>
  </si>
  <si>
    <t>Taxa registro de empresa - Exercício 2024</t>
  </si>
  <si>
    <t>ANUIDADE: 2024(5/12 da anuidade integral) **</t>
  </si>
  <si>
    <t>Taxa ART Projeto</t>
  </si>
  <si>
    <t>CREA Engenheiro</t>
  </si>
  <si>
    <t>** Taxa da Anuidade pode alterar devido ser proporcional</t>
  </si>
  <si>
    <t>Custo Unitário</t>
  </si>
  <si>
    <t>Qtde Empresas</t>
  </si>
  <si>
    <t>Custo Total</t>
  </si>
  <si>
    <t>Honorário Liquido de compra empresa:</t>
  </si>
  <si>
    <t>Honorários + Impostos a calcular - ISS (5%), PIS/COFINS (9,25%)</t>
  </si>
  <si>
    <t>Não incluso no valor acima o IRPJ, CSSL</t>
  </si>
  <si>
    <t>&lt;&lt; Valor ajustado após receber o valor do fornecedor em 27/03/24</t>
  </si>
  <si>
    <t>Despesa Inclusa:</t>
  </si>
  <si>
    <t xml:space="preserve">Inclusos ao valor dos honorários de regularização (*) da Companhia na Cidade do Rio de Janeiro, perante a Junta Comercial, Secretaria da Receita Federal, Prefeitura, inscrição junto ao cadastro da Secretaria de Estado de Fazenda (se necessário).           </t>
  </si>
  <si>
    <t xml:space="preserve">(*) HONORÁRIOS DE REGULARIZAÇÃO: ALTERAÇÕES CONSTANTES NA 1ª AGE, DOCUMENTOS POSTERIORES SERÃO COBRADOS. </t>
  </si>
  <si>
    <t>Despesas não inclusas:</t>
  </si>
  <si>
    <r>
      <rPr>
        <b/>
        <sz val="11"/>
        <color rgb="FFFF0000"/>
        <rFont val="Calibri"/>
        <family val="2"/>
        <scheme val="minor"/>
      </rPr>
      <t>Não inclusos as despesas</t>
    </r>
    <r>
      <rPr>
        <b/>
        <sz val="11"/>
        <color rgb="FF1F497D"/>
        <rFont val="Calibri"/>
        <family val="2"/>
        <scheme val="minor"/>
      </rPr>
      <t xml:space="preserve"> e os impostos incidentes na nota fiscal de serviços.</t>
    </r>
  </si>
  <si>
    <r>
      <rPr>
        <b/>
        <sz val="11"/>
        <color rgb="FF1F497D"/>
        <rFont val="Calibri"/>
        <family val="2"/>
        <scheme val="minor"/>
      </rPr>
      <t>Outras Despesas não inclusas:</t>
    </r>
    <r>
      <rPr>
        <b/>
        <sz val="11"/>
        <color rgb="FFFF0000"/>
        <rFont val="Calibri"/>
        <family val="2"/>
        <scheme val="minor"/>
      </rPr>
      <t xml:space="preserve"> </t>
    </r>
    <r>
      <rPr>
        <sz val="11"/>
        <color rgb="FFFF0000"/>
        <rFont val="Calibri"/>
        <family val="2"/>
        <scheme val="minor"/>
      </rPr>
      <t>taxa da  Junta  Comercial, cópias, autenticações, e outras despesas necessárias à regularização,</t>
    </r>
    <r>
      <rPr>
        <sz val="11"/>
        <color theme="4" tint="-0.499984740745262"/>
        <rFont val="Calibri"/>
        <family val="2"/>
        <scheme val="minor"/>
      </rPr>
      <t xml:space="preserve"> essas despesas serão adiantadas pelo cliente e serão devidamente comprovadas com o envio dos comprovantes de pagamento, e ainda, os impostos incidentes sobre a Nota  Fiscal, p</t>
    </r>
    <r>
      <rPr>
        <sz val="11"/>
        <color rgb="FF1F497D"/>
        <rFont val="Calibri"/>
        <family val="2"/>
        <scheme val="minor"/>
      </rPr>
      <t xml:space="preserve">odendo a NF ser emitida pelas empresas do nosso grupo, são elas: </t>
    </r>
    <r>
      <rPr>
        <b/>
        <sz val="11"/>
        <color rgb="FF1F497D"/>
        <rFont val="Calibri"/>
        <family val="2"/>
        <scheme val="minor"/>
      </rPr>
      <t>EDCA Serviços Societários Ltda. –  CNPJ/ME nº 30.321.763/0001-03</t>
    </r>
    <r>
      <rPr>
        <sz val="11"/>
        <color rgb="FF1F497D"/>
        <rFont val="Calibri"/>
        <family val="2"/>
        <scheme val="minor"/>
      </rPr>
      <t xml:space="preserve"> e </t>
    </r>
    <r>
      <rPr>
        <b/>
        <sz val="11"/>
        <color rgb="FF1F497D"/>
        <rFont val="Calibri"/>
        <family val="2"/>
        <scheme val="minor"/>
      </rPr>
      <t>Vec Editora e Serviços Ltda. – CNPJ/ME nº 30.279.129/0001-41</t>
    </r>
    <r>
      <rPr>
        <sz val="11"/>
        <color rgb="FF1F497D"/>
        <rFont val="Calibri"/>
        <family val="2"/>
        <scheme val="minor"/>
      </rPr>
      <t>.</t>
    </r>
  </si>
  <si>
    <t>Não está incluso ao valor da aquisição, o registro da empresa junto à qualquer Conselho (CRC, CRA, CRM, CREA, Licenças, etc.), se necessário, os honorários ficarão à combinar.</t>
  </si>
  <si>
    <t xml:space="preserve">Caso o pagamento seja efetuado através de câmbio, as despesas com o fechamento do câmbio não estão inclusas no valor de aquisição da sociedade.           </t>
  </si>
  <si>
    <t>REGULARIZAÇÃO DA MESMA NOS ÓRGÃOS COMPETENTES.</t>
  </si>
  <si>
    <t>Cenário 1 (Somente o registro na JUCERJA)</t>
  </si>
  <si>
    <t>Reembolso da taxa de registro na JUCERJA – R$ 754,00</t>
  </si>
  <si>
    <t>Honorários – Isento</t>
  </si>
  <si>
    <t>Taxa de registro na JUCERJA</t>
  </si>
  <si>
    <t>Públicação da ata de AGE (alteração estatutária) e Estatuto Social (ato registrado pelo Eduardo Duarte)</t>
  </si>
  <si>
    <t>Total para Aquisição dos 1 CNPJs</t>
  </si>
  <si>
    <t>Custos Societários para Abertura de Filiais por Client Co</t>
  </si>
  <si>
    <t>UPI</t>
  </si>
  <si>
    <t>Qtde filiais ex-matriz/ Despachantes</t>
  </si>
  <si>
    <t>Registro das atas de ReDir da UPI (abertura de x filiais e 7 CD/CA)</t>
  </si>
  <si>
    <t>Publicação de ReDir UPI (abertura  de x filiais - R$ 630,00 por ata publicada)</t>
  </si>
  <si>
    <t>Total da Abertura de Filiais</t>
  </si>
  <si>
    <t>Custo Médio - filial Virtual</t>
  </si>
  <si>
    <t>Custo Médio de Mars para abertura de Filial na capital (*)</t>
  </si>
  <si>
    <t>Custo dos Certificados Digitais por empresa</t>
  </si>
  <si>
    <t xml:space="preserve">Qtde Filial </t>
  </si>
  <si>
    <t>Matriz Empresa</t>
  </si>
  <si>
    <t>Filiais p/ ClientCo - Clientes</t>
  </si>
  <si>
    <t>Filial Virtual</t>
  </si>
  <si>
    <t>Filiais de RH</t>
  </si>
  <si>
    <t>Filiais CD/CA de Logistica</t>
  </si>
  <si>
    <t>Filiais de SVA de TV</t>
  </si>
  <si>
    <t>Custo para Regularização das Filiais</t>
  </si>
  <si>
    <t>Custo dos Certificados Digitais</t>
  </si>
  <si>
    <t>TV</t>
  </si>
  <si>
    <t>AC</t>
  </si>
  <si>
    <t>AL</t>
  </si>
  <si>
    <t>AM</t>
  </si>
  <si>
    <t>AP</t>
  </si>
  <si>
    <t>BA</t>
  </si>
  <si>
    <t>CE</t>
  </si>
  <si>
    <t>DF</t>
  </si>
  <si>
    <t>ES</t>
  </si>
  <si>
    <t>GO</t>
  </si>
  <si>
    <t>MA</t>
  </si>
  <si>
    <t>MG</t>
  </si>
  <si>
    <t>MS</t>
  </si>
  <si>
    <t>MT</t>
  </si>
  <si>
    <t>PA</t>
  </si>
  <si>
    <t>PB</t>
  </si>
  <si>
    <t>PE</t>
  </si>
  <si>
    <t>PI</t>
  </si>
  <si>
    <t>PR</t>
  </si>
  <si>
    <t>RJ</t>
  </si>
  <si>
    <t>RN</t>
  </si>
  <si>
    <t>RO</t>
  </si>
  <si>
    <t>RR</t>
  </si>
  <si>
    <t>RS</t>
  </si>
  <si>
    <t>SC</t>
  </si>
  <si>
    <t>SE</t>
  </si>
  <si>
    <t>SP</t>
  </si>
  <si>
    <t>TO</t>
  </si>
  <si>
    <t>(*) Considerações:</t>
  </si>
  <si>
    <t>1 - Há Capitais em que o custo chegou a ~R$ 22 mil, mas adotaram a média dos valores para capital realizados em Mars. Localidades fora da Capital podem ter custos maiores;</t>
  </si>
  <si>
    <t>2 - Não inclusos custos associados aos despachantes, entre eles de locomoção, serviços, etc. Considerado como premissa que não irão nos cobrar, mas há chance de existir cobrança nos locais mais distantes.</t>
  </si>
  <si>
    <t>3 - Não estão contempladas eventuais diligências (Ex.: AVCB, registro de contrato) para cumprimento de exigências, nem os custos societários (Ex: registro da Ata Societária, procuração) que devem ser avaliados com a área competente.</t>
  </si>
  <si>
    <t>4 - Não temos essa verba orçada para 2024.</t>
  </si>
  <si>
    <t>5 - Localidades Previstas nas abas Municipios Logistica e Capitais Societário</t>
  </si>
  <si>
    <t>Relação de Itens relacionados ao custo médio que pode variar de acordo com a localidade:</t>
  </si>
  <si>
    <t>V1</t>
  </si>
  <si>
    <t>Cenário Filial Virtual</t>
  </si>
  <si>
    <t>Custos de ATD à fiscalização para abertura de filial (25 UFs - R$4.000/ 25 Ufs virtuais - R$300,00 unit)</t>
  </si>
  <si>
    <t>Públicação da ata de AGE (alteração estatutária) e Estatuto Social (ato registrado pelo Eduardo Duarte), alteração de objeto social</t>
  </si>
  <si>
    <t>Custos de ATD à fiscalização para abertura de filial RN física = R$4.000/ Virtual = R$300,00 unit</t>
  </si>
  <si>
    <t>-</t>
  </si>
  <si>
    <t>Avenida das Nações Unidas, 12901</t>
  </si>
  <si>
    <t>WEWORK</t>
  </si>
  <si>
    <t>Rua Padre Nestor Sampaio, nº 140</t>
  </si>
  <si>
    <t xml:space="preserve"> Rua Ernesto de Paula Santos 960 </t>
  </si>
  <si>
    <t>Rua 24 de Outubro, nº 520</t>
  </si>
  <si>
    <t>Rua Fagundes Varela, n.477</t>
  </si>
  <si>
    <t>Rua do Parque, nº 361</t>
  </si>
  <si>
    <t xml:space="preserve"> Avenida Rodrigo Otávio</t>
  </si>
  <si>
    <t xml:space="preserve"> Avenida General Ataíde Teive, n° 832/01</t>
  </si>
  <si>
    <t>COMPANY HERO</t>
  </si>
  <si>
    <t xml:space="preserve"> Rua Doutor Poty Nóbrega, 1946</t>
  </si>
  <si>
    <t>AV CARAMURU, 1293, BURITIZAL</t>
  </si>
  <si>
    <t>Av. Fernandes Lima 8</t>
  </si>
  <si>
    <t xml:space="preserve">Setor SCN Quadra 03 Bloco A; </t>
  </si>
  <si>
    <t>End Oi</t>
  </si>
  <si>
    <t xml:space="preserve">Av. Frei Serafim, 
1782 </t>
  </si>
  <si>
    <t xml:space="preserve">Rua do Rosario, no
150  </t>
  </si>
  <si>
    <t>AV MAL FLORIANO PEIXOTO 410</t>
  </si>
  <si>
    <r>
      <t>AV PROTASIO ALVES, 4809</t>
    </r>
    <r>
      <rPr>
        <strike/>
        <sz val="11"/>
        <rFont val="Calibri"/>
        <family val="2"/>
      </rPr>
      <t xml:space="preserve"> </t>
    </r>
  </si>
  <si>
    <t>Rua Visconde de Nacar, nº 1421</t>
  </si>
  <si>
    <t xml:space="preserve">Pça Milton Campos 16 </t>
  </si>
  <si>
    <t>RUA - LAURO LINHARES, 1729</t>
  </si>
  <si>
    <t xml:space="preserve">Av. Brasil, 381 </t>
  </si>
  <si>
    <t xml:space="preserve">ACSU SO 20 AVENIDA NS A, SN </t>
  </si>
  <si>
    <t xml:space="preserve">Rua Dom Pedro II, no. 1213  </t>
  </si>
  <si>
    <t>Travessa Dr Moraes,  121</t>
  </si>
  <si>
    <t xml:space="preserve">AV. DANIEL DE LA TOUCHE, 31 </t>
  </si>
  <si>
    <t>RUA SENA MADUREIRA 1020 - térreo</t>
  </si>
  <si>
    <t>Avenida Antônio Carlos Magalhães</t>
  </si>
  <si>
    <t xml:space="preserve">Rua Correa Vasques, 69 - 3 andar </t>
  </si>
  <si>
    <t>MATRIZ</t>
  </si>
  <si>
    <t>Valor Aluguel</t>
  </si>
  <si>
    <t>M²</t>
  </si>
  <si>
    <t>Endereço</t>
  </si>
  <si>
    <t>Tipo estabelecimento</t>
  </si>
  <si>
    <t>UF</t>
  </si>
  <si>
    <t>#</t>
  </si>
  <si>
    <t>Confirmado?</t>
  </si>
  <si>
    <t>ok - Marina</t>
  </si>
  <si>
    <t>NA</t>
  </si>
  <si>
    <t>Ver c/ ATF</t>
  </si>
  <si>
    <t>Comp Hero e WW</t>
  </si>
  <si>
    <t>&gt;&gt; 3 Meses</t>
  </si>
  <si>
    <t>27 FÍSICAS</t>
  </si>
  <si>
    <t>Registro das atas de ReDir da ClientCo (abertura de filiais - R$ 1000 por ata)</t>
  </si>
  <si>
    <t>Publicação de ReDir ClientCo (abertura de filiais - R$ 1000,00 por ata publicada)</t>
  </si>
  <si>
    <t>22 VIRTUAL + 5 FÍSICAS</t>
  </si>
  <si>
    <t>Valores aluguel de filiais (Ends Oi + Wework e Company Hero) - estimados por 3 Meses</t>
  </si>
  <si>
    <t>*Já temos filiais físicas abertas: RJ, PR, GO e SC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</si>
</sst>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8" formatCode="&quot;R$&quot;\ #,##0.00;[Red]\-&quot;R$&quot;\ #,##0.00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&quot;R$&quot;\ #,##0.00"/>
  </numFmts>
  <fonts count="3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1F497D"/>
      <name val="Calibri"/>
      <family val="2"/>
      <scheme val="minor"/>
    </font>
    <font>
      <sz val="11"/>
      <color rgb="FF1F497D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theme="4" tint="-0.499984740745262"/>
      <name val="Calibri"/>
      <family val="2"/>
      <scheme val="minor"/>
    </font>
    <font>
      <b/>
      <u/>
      <sz val="11"/>
      <color rgb="FF1F497D"/>
      <name val="Calibri"/>
      <family val="2"/>
      <scheme val="minor"/>
    </font>
    <font>
      <b/>
      <i/>
      <sz val="11"/>
      <color rgb="FF44546A"/>
      <name val="Calibri"/>
      <family val="2"/>
      <scheme val="minor"/>
    </font>
    <font>
      <sz val="11"/>
      <color rgb="FF44546A"/>
      <name val="Calibri"/>
      <family val="2"/>
      <scheme val="minor"/>
    </font>
    <font>
      <b/>
      <sz val="11"/>
      <color rgb="FF44546A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404040"/>
      <name val="Calibri"/>
      <family val="2"/>
      <scheme val="minor"/>
    </font>
    <font>
      <b/>
      <sz val="11"/>
      <color theme="0"/>
      <name val="Simplon BP Regular"/>
      <family val="3"/>
    </font>
    <font>
      <sz val="11"/>
      <color theme="0"/>
      <name val="Simplon BP Regular"/>
      <family val="3"/>
    </font>
    <font>
      <sz val="11"/>
      <color theme="1"/>
      <name val="Simplon BP Regular"/>
      <family val="3"/>
    </font>
    <font>
      <sz val="10"/>
      <color theme="1"/>
      <name val="Simplon BP Regular"/>
      <family val="3"/>
    </font>
    <font>
      <sz val="10"/>
      <name val="Simplon BP Regular"/>
      <family val="3"/>
    </font>
    <font>
      <sz val="11"/>
      <color rgb="FF1F497D"/>
      <name val="Times New Roman"/>
      <family val="1"/>
    </font>
    <font>
      <sz val="10"/>
      <color rgb="FF000000"/>
      <name val="Times New Roman"/>
      <family val="1"/>
    </font>
    <font>
      <sz val="9"/>
      <color theme="0" tint="-0.34998626667073579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name val="Calibri"/>
      <family val="2"/>
    </font>
    <font>
      <sz val="12"/>
      <name val="Calibri"/>
      <family val="2"/>
    </font>
    <font>
      <strike/>
      <sz val="11"/>
      <name val="Calibri"/>
      <family val="2"/>
    </font>
    <font>
      <sz val="11"/>
      <color rgb="FF000000"/>
      <name val="Calibri"/>
      <family val="2"/>
    </font>
    <font>
      <sz val="10"/>
      <name val="Arial"/>
      <family val="2"/>
    </font>
    <font>
      <sz val="12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9E0B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hair">
        <color rgb="FF009E0B"/>
      </bottom>
      <diagonal/>
    </border>
    <border>
      <left/>
      <right/>
      <top style="hair">
        <color rgb="FF009E0B"/>
      </top>
      <bottom style="hair">
        <color rgb="FF009E0B"/>
      </bottom>
      <diagonal/>
    </border>
    <border>
      <left/>
      <right/>
      <top style="hair">
        <color rgb="FF009E0B"/>
      </top>
      <bottom/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0" fillId="0" borderId="0"/>
  </cellStyleXfs>
  <cellXfs count="110">
    <xf numFmtId="0" fontId="0" fillId="0" borderId="0" xfId="0"/>
    <xf numFmtId="0" fontId="6" fillId="2" borderId="0" xfId="0" applyFont="1" applyFill="1" applyAlignment="1">
      <alignment vertical="center"/>
    </xf>
    <xf numFmtId="44" fontId="0" fillId="0" borderId="0" xfId="0" applyNumberFormat="1"/>
    <xf numFmtId="0" fontId="4" fillId="0" borderId="0" xfId="0" applyFont="1"/>
    <xf numFmtId="0" fontId="0" fillId="0" borderId="0" xfId="0" quotePrefix="1" applyAlignment="1">
      <alignment vertical="center"/>
    </xf>
    <xf numFmtId="0" fontId="7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44" fontId="0" fillId="0" borderId="0" xfId="1" applyFont="1" applyBorder="1"/>
    <xf numFmtId="0" fontId="12" fillId="0" borderId="2" xfId="0" applyFont="1" applyBorder="1" applyAlignment="1">
      <alignment vertical="center"/>
    </xf>
    <xf numFmtId="44" fontId="0" fillId="0" borderId="2" xfId="1" applyFont="1" applyBorder="1"/>
    <xf numFmtId="0" fontId="12" fillId="2" borderId="0" xfId="0" applyFont="1" applyFill="1" applyAlignment="1">
      <alignment vertical="center"/>
    </xf>
    <xf numFmtId="44" fontId="0" fillId="0" borderId="0" xfId="1" applyFont="1"/>
    <xf numFmtId="44" fontId="0" fillId="3" borderId="0" xfId="0" applyNumberFormat="1" applyFill="1"/>
    <xf numFmtId="0" fontId="4" fillId="0" borderId="0" xfId="0" applyFont="1" applyAlignment="1">
      <alignment vertical="center"/>
    </xf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  <xf numFmtId="44" fontId="4" fillId="0" borderId="0" xfId="0" applyNumberFormat="1" applyFont="1" applyAlignment="1">
      <alignment horizontal="center"/>
    </xf>
    <xf numFmtId="44" fontId="4" fillId="0" borderId="0" xfId="0" applyNumberFormat="1" applyFont="1"/>
    <xf numFmtId="0" fontId="14" fillId="0" borderId="0" xfId="0" applyFont="1" applyAlignment="1">
      <alignment vertical="center"/>
    </xf>
    <xf numFmtId="0" fontId="15" fillId="0" borderId="0" xfId="0" applyFont="1" applyAlignment="1">
      <alignment vertical="center" wrapText="1"/>
    </xf>
    <xf numFmtId="0" fontId="5" fillId="0" borderId="0" xfId="0" applyFont="1"/>
    <xf numFmtId="0" fontId="14" fillId="0" borderId="0" xfId="0" applyFont="1"/>
    <xf numFmtId="0" fontId="0" fillId="0" borderId="0" xfId="0" applyAlignment="1">
      <alignment vertical="center"/>
    </xf>
    <xf numFmtId="44" fontId="4" fillId="3" borderId="0" xfId="1" applyFont="1" applyFill="1" applyBorder="1"/>
    <xf numFmtId="0" fontId="5" fillId="5" borderId="0" xfId="0" applyFont="1" applyFill="1"/>
    <xf numFmtId="0" fontId="2" fillId="5" borderId="0" xfId="0" applyFont="1" applyFill="1" applyAlignment="1">
      <alignment horizontal="center" vertical="center" wrapText="1"/>
    </xf>
    <xf numFmtId="0" fontId="5" fillId="5" borderId="0" xfId="0" applyFont="1" applyFill="1" applyAlignment="1">
      <alignment horizontal="center" vertical="center" wrapText="1"/>
    </xf>
    <xf numFmtId="0" fontId="5" fillId="6" borderId="0" xfId="0" applyFont="1" applyFill="1" applyAlignment="1">
      <alignment horizontal="center" vertical="center" wrapText="1"/>
    </xf>
    <xf numFmtId="0" fontId="5" fillId="7" borderId="0" xfId="0" applyFont="1" applyFill="1" applyAlignment="1">
      <alignment horizontal="center" vertical="center" wrapText="1"/>
    </xf>
    <xf numFmtId="44" fontId="3" fillId="2" borderId="0" xfId="1" applyFont="1" applyFill="1" applyBorder="1"/>
    <xf numFmtId="0" fontId="12" fillId="0" borderId="0" xfId="0" applyFont="1" applyAlignment="1">
      <alignment vertical="center" wrapText="1"/>
    </xf>
    <xf numFmtId="0" fontId="0" fillId="0" borderId="2" xfId="0" applyBorder="1"/>
    <xf numFmtId="44" fontId="0" fillId="0" borderId="0" xfId="0" applyNumberFormat="1" applyAlignment="1">
      <alignment vertical="center"/>
    </xf>
    <xf numFmtId="0" fontId="0" fillId="0" borderId="2" xfId="0" applyBorder="1" applyAlignment="1">
      <alignment horizontal="center"/>
    </xf>
    <xf numFmtId="0" fontId="12" fillId="8" borderId="2" xfId="0" applyFont="1" applyFill="1" applyBorder="1" applyAlignment="1">
      <alignment vertical="center"/>
    </xf>
    <xf numFmtId="0" fontId="0" fillId="8" borderId="2" xfId="0" applyFill="1" applyBorder="1" applyAlignment="1">
      <alignment horizontal="center"/>
    </xf>
    <xf numFmtId="0" fontId="11" fillId="8" borderId="0" xfId="0" applyFont="1" applyFill="1" applyAlignment="1">
      <alignment vertical="center"/>
    </xf>
    <xf numFmtId="0" fontId="0" fillId="8" borderId="0" xfId="0" applyFill="1" applyAlignment="1">
      <alignment horizontal="center"/>
    </xf>
    <xf numFmtId="44" fontId="0" fillId="3" borderId="0" xfId="1" applyFont="1" applyFill="1" applyBorder="1"/>
    <xf numFmtId="0" fontId="6" fillId="2" borderId="2" xfId="0" applyFont="1" applyFill="1" applyBorder="1" applyAlignment="1">
      <alignment vertical="center"/>
    </xf>
    <xf numFmtId="44" fontId="0" fillId="2" borderId="2" xfId="1" applyFont="1" applyFill="1" applyBorder="1"/>
    <xf numFmtId="0" fontId="13" fillId="0" borderId="3" xfId="0" applyFont="1" applyBorder="1" applyAlignment="1">
      <alignment vertical="center"/>
    </xf>
    <xf numFmtId="44" fontId="4" fillId="0" borderId="4" xfId="1" applyFont="1" applyBorder="1"/>
    <xf numFmtId="0" fontId="4" fillId="0" borderId="4" xfId="0" applyFont="1" applyBorder="1"/>
    <xf numFmtId="44" fontId="4" fillId="0" borderId="5" xfId="0" applyNumberFormat="1" applyFont="1" applyBorder="1"/>
    <xf numFmtId="0" fontId="13" fillId="9" borderId="6" xfId="0" applyFont="1" applyFill="1" applyBorder="1" applyAlignment="1">
      <alignment vertical="center"/>
    </xf>
    <xf numFmtId="0" fontId="13" fillId="9" borderId="6" xfId="0" applyFont="1" applyFill="1" applyBorder="1" applyAlignment="1">
      <alignment horizontal="center" vertical="center"/>
    </xf>
    <xf numFmtId="0" fontId="16" fillId="0" borderId="0" xfId="0" applyFont="1" applyAlignment="1">
      <alignment horizontal="right" vertical="center"/>
    </xf>
    <xf numFmtId="0" fontId="0" fillId="9" borderId="6" xfId="0" applyFill="1" applyBorder="1" applyAlignment="1">
      <alignment horizontal="center" vertical="center"/>
    </xf>
    <xf numFmtId="0" fontId="0" fillId="9" borderId="6" xfId="0" applyFill="1" applyBorder="1" applyAlignment="1">
      <alignment horizontal="center" vertical="center" wrapText="1"/>
    </xf>
    <xf numFmtId="44" fontId="0" fillId="0" borderId="0" xfId="1" applyFont="1" applyFill="1" applyAlignment="1">
      <alignment vertical="center"/>
    </xf>
    <xf numFmtId="0" fontId="17" fillId="4" borderId="0" xfId="0" applyFont="1" applyFill="1"/>
    <xf numFmtId="0" fontId="18" fillId="4" borderId="0" xfId="0" applyFont="1" applyFill="1" applyAlignment="1">
      <alignment horizontal="center"/>
    </xf>
    <xf numFmtId="0" fontId="19" fillId="0" borderId="7" xfId="0" applyFont="1" applyBorder="1"/>
    <xf numFmtId="44" fontId="19" fillId="0" borderId="7" xfId="0" applyNumberFormat="1" applyFont="1" applyBorder="1" applyAlignment="1">
      <alignment horizontal="center"/>
    </xf>
    <xf numFmtId="0" fontId="19" fillId="0" borderId="8" xfId="0" applyFont="1" applyBorder="1"/>
    <xf numFmtId="44" fontId="19" fillId="0" borderId="8" xfId="0" applyNumberFormat="1" applyFont="1" applyBorder="1" applyAlignment="1">
      <alignment horizontal="center"/>
    </xf>
    <xf numFmtId="0" fontId="19" fillId="0" borderId="9" xfId="0" applyFont="1" applyBorder="1"/>
    <xf numFmtId="44" fontId="17" fillId="4" borderId="0" xfId="0" applyNumberFormat="1" applyFont="1" applyFill="1" applyAlignment="1">
      <alignment horizontal="center"/>
    </xf>
    <xf numFmtId="0" fontId="19" fillId="0" borderId="0" xfId="0" applyFont="1"/>
    <xf numFmtId="0" fontId="19" fillId="0" borderId="0" xfId="0" applyFont="1" applyAlignment="1">
      <alignment horizontal="center"/>
    </xf>
    <xf numFmtId="0" fontId="20" fillId="0" borderId="0" xfId="0" applyFont="1"/>
    <xf numFmtId="0" fontId="21" fillId="0" borderId="0" xfId="0" applyFont="1"/>
    <xf numFmtId="0" fontId="0" fillId="0" borderId="0" xfId="0" applyAlignment="1">
      <alignment wrapText="1"/>
    </xf>
    <xf numFmtId="44" fontId="0" fillId="3" borderId="0" xfId="0" applyNumberFormat="1" applyFill="1" applyAlignment="1">
      <alignment vertical="center"/>
    </xf>
    <xf numFmtId="44" fontId="0" fillId="0" borderId="0" xfId="1" applyFont="1" applyFill="1"/>
    <xf numFmtId="44" fontId="0" fillId="0" borderId="0" xfId="0" applyNumberFormat="1" applyAlignment="1">
      <alignment horizontal="center"/>
    </xf>
    <xf numFmtId="0" fontId="22" fillId="0" borderId="0" xfId="0" applyFont="1" applyAlignment="1">
      <alignment vertical="center"/>
    </xf>
    <xf numFmtId="0" fontId="23" fillId="0" borderId="0" xfId="0" applyFont="1" applyAlignment="1">
      <alignment vertical="center"/>
    </xf>
    <xf numFmtId="0" fontId="23" fillId="10" borderId="1" xfId="0" applyFont="1" applyFill="1" applyBorder="1" applyAlignment="1">
      <alignment vertical="center"/>
    </xf>
    <xf numFmtId="8" fontId="23" fillId="10" borderId="1" xfId="0" applyNumberFormat="1" applyFont="1" applyFill="1" applyBorder="1" applyAlignment="1">
      <alignment horizontal="center" vertical="center"/>
    </xf>
    <xf numFmtId="0" fontId="19" fillId="0" borderId="8" xfId="0" applyFont="1" applyBorder="1" applyAlignment="1">
      <alignment wrapText="1"/>
    </xf>
    <xf numFmtId="44" fontId="19" fillId="0" borderId="8" xfId="0" applyNumberFormat="1" applyFont="1" applyBorder="1" applyAlignment="1">
      <alignment horizontal="center" vertical="center"/>
    </xf>
    <xf numFmtId="44" fontId="0" fillId="0" borderId="0" xfId="1" applyFont="1" applyAlignment="1">
      <alignment horizontal="center"/>
    </xf>
    <xf numFmtId="44" fontId="0" fillId="0" borderId="0" xfId="1" applyFont="1" applyBorder="1" applyAlignment="1">
      <alignment horizontal="center"/>
    </xf>
    <xf numFmtId="44" fontId="0" fillId="0" borderId="2" xfId="1" applyFont="1" applyBorder="1" applyAlignment="1">
      <alignment horizontal="center"/>
    </xf>
    <xf numFmtId="44" fontId="0" fillId="0" borderId="2" xfId="0" applyNumberFormat="1" applyBorder="1" applyAlignment="1">
      <alignment horizontal="center"/>
    </xf>
    <xf numFmtId="43" fontId="24" fillId="0" borderId="0" xfId="2" applyFont="1"/>
    <xf numFmtId="16" fontId="0" fillId="11" borderId="0" xfId="0" applyNumberFormat="1" applyFill="1" applyAlignment="1">
      <alignment horizontal="center"/>
    </xf>
    <xf numFmtId="44" fontId="19" fillId="12" borderId="7" xfId="0" applyNumberFormat="1" applyFont="1" applyFill="1" applyBorder="1" applyAlignment="1">
      <alignment horizontal="center"/>
    </xf>
    <xf numFmtId="44" fontId="17" fillId="4" borderId="0" xfId="0" applyNumberFormat="1" applyFont="1" applyFill="1" applyAlignment="1">
      <alignment horizontal="center" vertical="center"/>
    </xf>
    <xf numFmtId="164" fontId="0" fillId="0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Fill="1" applyBorder="1" applyAlignment="1">
      <alignment vertical="center" wrapText="1"/>
    </xf>
    <xf numFmtId="0" fontId="0" fillId="0" borderId="1" xfId="0" applyFont="1" applyFill="1" applyBorder="1" applyAlignment="1">
      <alignment horizontal="center" vertical="center"/>
    </xf>
    <xf numFmtId="0" fontId="25" fillId="0" borderId="1" xfId="0" applyFont="1" applyBorder="1" applyAlignment="1">
      <alignment horizontal="center" vertical="center" wrapText="1"/>
    </xf>
    <xf numFmtId="44" fontId="0" fillId="0" borderId="1" xfId="1" applyFont="1" applyBorder="1" applyAlignment="1">
      <alignment horizontal="center" vertical="center"/>
    </xf>
    <xf numFmtId="14" fontId="26" fillId="0" borderId="1" xfId="0" applyNumberFormat="1" applyFont="1" applyBorder="1" applyAlignment="1" applyProtection="1">
      <alignment vertical="center" wrapText="1"/>
      <protection locked="0"/>
    </xf>
    <xf numFmtId="14" fontId="27" fillId="0" borderId="1" xfId="0" applyNumberFormat="1" applyFont="1" applyBorder="1" applyAlignment="1" applyProtection="1">
      <alignment horizontal="center" vertical="center"/>
      <protection locked="0"/>
    </xf>
    <xf numFmtId="14" fontId="26" fillId="0" borderId="1" xfId="0" applyNumberFormat="1" applyFont="1" applyBorder="1" applyAlignment="1" applyProtection="1">
      <alignment horizontal="left" vertical="center" wrapText="1"/>
      <protection locked="0"/>
    </xf>
    <xf numFmtId="0" fontId="14" fillId="0" borderId="1" xfId="0" applyFont="1" applyBorder="1" applyAlignment="1" applyProtection="1">
      <alignment horizontal="left" vertical="center" wrapText="1" shrinkToFit="1"/>
      <protection locked="0"/>
    </xf>
    <xf numFmtId="0" fontId="29" fillId="0" borderId="1" xfId="0" applyFont="1" applyBorder="1" applyAlignment="1">
      <alignment horizontal="left" vertical="center"/>
    </xf>
    <xf numFmtId="0" fontId="31" fillId="0" borderId="1" xfId="3" applyFont="1" applyBorder="1" applyAlignment="1">
      <alignment horizontal="center" vertical="center"/>
    </xf>
    <xf numFmtId="44" fontId="2" fillId="4" borderId="1" xfId="1" applyFont="1" applyFill="1" applyBorder="1" applyAlignment="1" applyProtection="1">
      <alignment horizontal="center" vertical="center" wrapText="1"/>
      <protection locked="0"/>
    </xf>
    <xf numFmtId="0" fontId="2" fillId="4" borderId="1" xfId="3" applyFont="1" applyFill="1" applyBorder="1" applyAlignment="1" applyProtection="1">
      <alignment horizontal="center" vertical="center" wrapText="1"/>
      <protection locked="0"/>
    </xf>
    <xf numFmtId="44" fontId="19" fillId="0" borderId="8" xfId="0" applyNumberFormat="1" applyFont="1" applyFill="1" applyBorder="1" applyAlignment="1">
      <alignment horizontal="center" vertical="center"/>
    </xf>
    <xf numFmtId="44" fontId="19" fillId="0" borderId="7" xfId="0" applyNumberFormat="1" applyFont="1" applyFill="1" applyBorder="1" applyAlignment="1">
      <alignment horizontal="center"/>
    </xf>
    <xf numFmtId="44" fontId="19" fillId="12" borderId="0" xfId="0" applyNumberFormat="1" applyFont="1" applyFill="1" applyBorder="1" applyAlignment="1">
      <alignment horizontal="center"/>
    </xf>
    <xf numFmtId="44" fontId="19" fillId="12" borderId="8" xfId="0" applyNumberFormat="1" applyFont="1" applyFill="1" applyBorder="1" applyAlignment="1">
      <alignment horizontal="center"/>
    </xf>
    <xf numFmtId="44" fontId="19" fillId="12" borderId="9" xfId="0" applyNumberFormat="1" applyFont="1" applyFill="1" applyBorder="1" applyAlignment="1">
      <alignment horizontal="center"/>
    </xf>
    <xf numFmtId="14" fontId="0" fillId="13" borderId="0" xfId="0" applyNumberFormat="1" applyFill="1" applyAlignment="1">
      <alignment horizontal="center"/>
    </xf>
    <xf numFmtId="0" fontId="0" fillId="0" borderId="0" xfId="0" applyAlignment="1">
      <alignment horizontal="center" vertical="center"/>
    </xf>
    <xf numFmtId="0" fontId="7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164" fontId="0" fillId="0" borderId="0" xfId="0" applyNumberFormat="1"/>
    <xf numFmtId="0" fontId="0" fillId="0" borderId="0" xfId="0" applyFill="1"/>
    <xf numFmtId="44" fontId="17" fillId="0" borderId="0" xfId="0" applyNumberFormat="1" applyFont="1" applyFill="1" applyAlignment="1">
      <alignment horizontal="center" vertical="center"/>
    </xf>
    <xf numFmtId="44" fontId="19" fillId="0" borderId="8" xfId="0" applyNumberFormat="1" applyFont="1" applyFill="1" applyBorder="1" applyAlignment="1">
      <alignment horizontal="center"/>
    </xf>
    <xf numFmtId="44" fontId="19" fillId="0" borderId="9" xfId="0" applyNumberFormat="1" applyFont="1" applyFill="1" applyBorder="1" applyAlignment="1">
      <alignment horizontal="center"/>
    </xf>
  </cellXfs>
  <cellStyles count="4">
    <cellStyle name="Moeda" xfId="1" builtinId="4"/>
    <cellStyle name="Normal" xfId="0" builtinId="0"/>
    <cellStyle name="Normal 2" xfId="3"/>
    <cellStyle name="Vírgula" xfId="2" builtinId="3"/>
  </cellStyles>
  <dxfs count="0"/>
  <tableStyles count="0" defaultTableStyle="TableStyleMedium2" defaultPivotStyle="PivotStyleLight16"/>
  <colors>
    <mruColors>
      <color rgb="FF009E0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H27"/>
  <sheetViews>
    <sheetView showGridLines="0" tabSelected="1" topLeftCell="B1" workbookViewId="0">
      <selection activeCell="B22" sqref="B22"/>
    </sheetView>
  </sheetViews>
  <sheetFormatPr defaultRowHeight="15" x14ac:dyDescent="0.25"/>
  <cols>
    <col min="1" max="1" width="4.7109375" customWidth="1"/>
    <col min="2" max="2" width="96.140625" customWidth="1"/>
    <col min="3" max="3" width="16" style="15" hidden="1" customWidth="1"/>
    <col min="4" max="4" width="22.28515625" customWidth="1"/>
    <col min="5" max="5" width="16" style="15" customWidth="1"/>
    <col min="6" max="6" width="1.42578125" customWidth="1"/>
    <col min="7" max="7" width="13" customWidth="1"/>
    <col min="8" max="8" width="10.5703125" bestFit="1" customWidth="1"/>
  </cols>
  <sheetData>
    <row r="1" spans="2:8" ht="9.75" customHeight="1" x14ac:dyDescent="0.25"/>
    <row r="2" spans="2:8" x14ac:dyDescent="0.25">
      <c r="C2" s="79">
        <v>46021</v>
      </c>
      <c r="D2" s="101">
        <v>45660</v>
      </c>
      <c r="E2" s="101"/>
    </row>
    <row r="3" spans="2:8" x14ac:dyDescent="0.25">
      <c r="B3" s="52" t="s">
        <v>0</v>
      </c>
      <c r="C3" s="53" t="s">
        <v>93</v>
      </c>
      <c r="D3" s="53" t="s">
        <v>145</v>
      </c>
      <c r="E3" s="53" t="s">
        <v>142</v>
      </c>
      <c r="G3" s="53" t="s">
        <v>136</v>
      </c>
    </row>
    <row r="4" spans="2:8" x14ac:dyDescent="0.25">
      <c r="B4" s="54" t="str">
        <f>'Custos De Compra CNPJ - Societ.'!B4</f>
        <v>Honorários + Impostos a calcular - ISS (5%), PIS/COFINS (9,25%)</v>
      </c>
      <c r="C4" s="55">
        <f>'Custos De Compra CNPJ - Societ.'!C4</f>
        <v>9248.5499999999993</v>
      </c>
      <c r="D4" s="55">
        <v>9248.5499999999993</v>
      </c>
      <c r="E4" s="55">
        <v>9248.5499999999993</v>
      </c>
      <c r="G4" t="s">
        <v>138</v>
      </c>
      <c r="H4" s="78">
        <v>15500</v>
      </c>
    </row>
    <row r="5" spans="2:8" x14ac:dyDescent="0.25">
      <c r="B5" s="56" t="str">
        <f>'Custos De Compra CNPJ - Societ.'!B22</f>
        <v>Taxa de registro na JUCERJA</v>
      </c>
      <c r="C5" s="57">
        <f>'Custos De Compra CNPJ - Societ.'!C22</f>
        <v>754</v>
      </c>
      <c r="D5" s="57">
        <v>1000</v>
      </c>
      <c r="E5" s="57">
        <v>1000</v>
      </c>
      <c r="G5" t="s">
        <v>137</v>
      </c>
      <c r="H5" s="78">
        <v>4000</v>
      </c>
    </row>
    <row r="6" spans="2:8" ht="29.25" x14ac:dyDescent="0.25">
      <c r="B6" s="72" t="s">
        <v>96</v>
      </c>
      <c r="C6" s="73">
        <f>'Custos De Compra CNPJ - Societ.'!C25</f>
        <v>28644</v>
      </c>
      <c r="D6" s="96">
        <v>3000</v>
      </c>
      <c r="E6" s="96">
        <v>3000</v>
      </c>
      <c r="G6" s="23" t="s">
        <v>137</v>
      </c>
      <c r="H6" s="78">
        <f>H4-H5</f>
        <v>11500</v>
      </c>
    </row>
    <row r="7" spans="2:8" x14ac:dyDescent="0.25">
      <c r="B7" s="56" t="s">
        <v>1</v>
      </c>
      <c r="C7" s="99">
        <f>'Custos para Abertura de Filiais'!C3</f>
        <v>4000</v>
      </c>
      <c r="D7" s="108">
        <v>4000</v>
      </c>
      <c r="E7" s="108">
        <v>4000</v>
      </c>
      <c r="G7" t="s">
        <v>139</v>
      </c>
    </row>
    <row r="8" spans="2:8" x14ac:dyDescent="0.25">
      <c r="B8" s="58" t="s">
        <v>2</v>
      </c>
      <c r="C8" s="100">
        <f>'Custos para Abertura de Filiais'!C4</f>
        <v>3000</v>
      </c>
      <c r="D8" s="109">
        <v>3000</v>
      </c>
      <c r="E8" s="109">
        <v>3000</v>
      </c>
      <c r="G8" t="s">
        <v>139</v>
      </c>
    </row>
    <row r="9" spans="2:8" s="3" customFormat="1" x14ac:dyDescent="0.25">
      <c r="B9" s="52" t="s">
        <v>3</v>
      </c>
      <c r="C9" s="59">
        <f>SUM(C4:C8)</f>
        <v>45646.55</v>
      </c>
      <c r="D9" s="59">
        <f>SUM(D4:D8)</f>
        <v>20248.55</v>
      </c>
      <c r="E9" s="59">
        <f t="shared" ref="E9" si="0">SUM(E4:E8)</f>
        <v>20248.55</v>
      </c>
    </row>
    <row r="10" spans="2:8" ht="8.25" customHeight="1" x14ac:dyDescent="0.25">
      <c r="B10" s="60"/>
      <c r="C10" s="61"/>
      <c r="E10"/>
    </row>
    <row r="11" spans="2:8" x14ac:dyDescent="0.25">
      <c r="B11" s="52" t="s">
        <v>4</v>
      </c>
      <c r="C11" s="53"/>
      <c r="D11" s="53"/>
      <c r="E11" s="53"/>
    </row>
    <row r="12" spans="2:8" x14ac:dyDescent="0.25">
      <c r="B12" s="54" t="s">
        <v>5</v>
      </c>
      <c r="C12" s="80">
        <f>'Custos De Compra CNPJ - Societ.'!F33</f>
        <v>7150</v>
      </c>
      <c r="D12" s="97">
        <f>C12</f>
        <v>7150</v>
      </c>
      <c r="E12" s="97">
        <f>C12</f>
        <v>7150</v>
      </c>
      <c r="G12" t="s">
        <v>139</v>
      </c>
    </row>
    <row r="13" spans="2:8" x14ac:dyDescent="0.25">
      <c r="B13" s="56" t="s">
        <v>143</v>
      </c>
      <c r="C13" s="55">
        <f>'Custos De Compra CNPJ - Societ.'!F31</f>
        <v>19604</v>
      </c>
      <c r="D13" s="97">
        <f>1000*26</f>
        <v>26000</v>
      </c>
      <c r="E13" s="97">
        <f>1000*26</f>
        <v>26000</v>
      </c>
      <c r="G13" t="s">
        <v>137</v>
      </c>
    </row>
    <row r="14" spans="2:8" x14ac:dyDescent="0.25">
      <c r="B14" s="56" t="s">
        <v>144</v>
      </c>
      <c r="C14" s="55">
        <f>'Custos De Compra CNPJ - Societ.'!F32</f>
        <v>16380</v>
      </c>
      <c r="D14" s="97">
        <f>1000*26</f>
        <v>26000</v>
      </c>
      <c r="E14" s="97">
        <f>1000*26</f>
        <v>26000</v>
      </c>
      <c r="G14" t="s">
        <v>137</v>
      </c>
    </row>
    <row r="15" spans="2:8" x14ac:dyDescent="0.25">
      <c r="B15" s="56" t="s">
        <v>97</v>
      </c>
      <c r="C15" s="98"/>
      <c r="D15" s="108">
        <v>4000</v>
      </c>
      <c r="E15" s="108">
        <v>4000</v>
      </c>
      <c r="G15" t="s">
        <v>139</v>
      </c>
    </row>
    <row r="16" spans="2:8" x14ac:dyDescent="0.25">
      <c r="B16" s="58" t="s">
        <v>95</v>
      </c>
      <c r="C16" s="100">
        <f>'Custos para Abertura de Filiais'!J7-C7</f>
        <v>11500</v>
      </c>
      <c r="D16" s="109">
        <f>25*300</f>
        <v>7500</v>
      </c>
      <c r="E16" s="109">
        <f>25*4000</f>
        <v>100000</v>
      </c>
      <c r="G16" t="s">
        <v>139</v>
      </c>
    </row>
    <row r="17" spans="2:5" s="3" customFormat="1" x14ac:dyDescent="0.25">
      <c r="B17" s="52" t="s">
        <v>3</v>
      </c>
      <c r="C17" s="59">
        <f>SUM(C12:C16)</f>
        <v>54634</v>
      </c>
      <c r="D17" s="59">
        <f>SUM(D12:D16)</f>
        <v>70650</v>
      </c>
      <c r="E17" s="59">
        <f>SUM(E12:E16)</f>
        <v>163150</v>
      </c>
    </row>
    <row r="18" spans="2:5" ht="8.25" customHeight="1" x14ac:dyDescent="0.25">
      <c r="B18" s="60"/>
      <c r="C18" s="61"/>
      <c r="E18"/>
    </row>
    <row r="19" spans="2:5" ht="14.25" customHeight="1" x14ac:dyDescent="0.25">
      <c r="B19" s="56" t="s">
        <v>146</v>
      </c>
      <c r="C19" s="57"/>
      <c r="D19" s="57">
        <f>('Aluguel_Oi e 3º_Previsão'!G2+'Aluguel_Oi e 3º_Previsão'!G12+'Aluguel_Oi e 3º_Previsão'!G10+'Aluguel_Oi e 3º_Previsão'!G23+'Aluguel_Oi e 3º_Previsão'!G20)*3</f>
        <v>20349.93</v>
      </c>
      <c r="E19" s="57">
        <f>35019.66*3</f>
        <v>105058.98000000001</v>
      </c>
    </row>
    <row r="20" spans="2:5" ht="10.5" customHeight="1" x14ac:dyDescent="0.25"/>
    <row r="21" spans="2:5" ht="17.25" customHeight="1" x14ac:dyDescent="0.25">
      <c r="C21" s="81">
        <f>C9+C17+C19</f>
        <v>100280.55</v>
      </c>
      <c r="D21" s="81">
        <f>D9+D17+D19</f>
        <v>111248.48000000001</v>
      </c>
      <c r="E21" s="81">
        <f>E9+E17+E19</f>
        <v>288457.53000000003</v>
      </c>
    </row>
    <row r="22" spans="2:5" s="106" customFormat="1" ht="17.25" customHeight="1" x14ac:dyDescent="0.25">
      <c r="B22" s="62" t="s">
        <v>147</v>
      </c>
      <c r="C22" s="107"/>
      <c r="D22" s="107"/>
      <c r="E22" s="107"/>
    </row>
    <row r="23" spans="2:5" ht="12.75" customHeight="1" x14ac:dyDescent="0.25">
      <c r="B23" s="62" t="s">
        <v>6</v>
      </c>
      <c r="C23" s="61"/>
      <c r="E23" s="61"/>
    </row>
    <row r="24" spans="2:5" ht="12.75" customHeight="1" x14ac:dyDescent="0.25">
      <c r="B24" s="63" t="s">
        <v>7</v>
      </c>
      <c r="C24" s="61"/>
      <c r="E24" s="61"/>
    </row>
    <row r="25" spans="2:5" x14ac:dyDescent="0.25">
      <c r="B25" s="63" t="s">
        <v>8</v>
      </c>
      <c r="C25" s="61"/>
      <c r="E25" s="61"/>
    </row>
    <row r="26" spans="2:5" x14ac:dyDescent="0.25">
      <c r="B26" s="63" t="s">
        <v>9</v>
      </c>
    </row>
    <row r="27" spans="2:5" x14ac:dyDescent="0.25">
      <c r="B27" s="63" t="s">
        <v>10</v>
      </c>
    </row>
  </sheetData>
  <mergeCells count="1">
    <mergeCell ref="D2:E2"/>
  </mergeCells>
  <pageMargins left="0.511811024" right="0.511811024" top="0.78740157499999996" bottom="0.78740157499999996" header="0.31496062000000002" footer="0.31496062000000002"/>
  <pageSetup paperSize="9" orientation="portrait" r:id="rId1"/>
  <ignoredErrors>
    <ignoredError sqref="E13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10"/>
  <sheetViews>
    <sheetView workbookViewId="0">
      <selection activeCell="B16" sqref="B16"/>
    </sheetView>
  </sheetViews>
  <sheetFormatPr defaultRowHeight="15" x14ac:dyDescent="0.25"/>
  <cols>
    <col min="2" max="2" width="70" bestFit="1" customWidth="1"/>
  </cols>
  <sheetData>
    <row r="2" spans="2:3" x14ac:dyDescent="0.25">
      <c r="B2" s="68" t="s">
        <v>11</v>
      </c>
    </row>
    <row r="3" spans="2:3" x14ac:dyDescent="0.25">
      <c r="B3" s="68"/>
    </row>
    <row r="4" spans="2:3" x14ac:dyDescent="0.25">
      <c r="B4" s="70" t="s">
        <v>12</v>
      </c>
      <c r="C4" s="71">
        <v>99.64</v>
      </c>
    </row>
    <row r="5" spans="2:3" x14ac:dyDescent="0.25">
      <c r="B5" s="70" t="s">
        <v>13</v>
      </c>
      <c r="C5" s="71">
        <v>298.44</v>
      </c>
    </row>
    <row r="6" spans="2:3" x14ac:dyDescent="0.25">
      <c r="B6" s="70" t="s">
        <v>14</v>
      </c>
      <c r="C6" s="71">
        <v>255.25</v>
      </c>
    </row>
    <row r="7" spans="2:3" x14ac:dyDescent="0.25">
      <c r="B7" s="70" t="s">
        <v>15</v>
      </c>
      <c r="C7" s="71">
        <v>99.64</v>
      </c>
    </row>
    <row r="8" spans="2:3" x14ac:dyDescent="0.25">
      <c r="B8" s="70" t="s">
        <v>16</v>
      </c>
      <c r="C8" s="71">
        <v>860.27</v>
      </c>
    </row>
    <row r="10" spans="2:3" x14ac:dyDescent="0.25">
      <c r="B10" s="69" t="s">
        <v>17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0"/>
  </sheetPr>
  <dimension ref="A2:J39"/>
  <sheetViews>
    <sheetView showGridLines="0" topLeftCell="A19" workbookViewId="0">
      <selection activeCell="D31" sqref="D31:D32"/>
    </sheetView>
  </sheetViews>
  <sheetFormatPr defaultRowHeight="15" x14ac:dyDescent="0.25"/>
  <cols>
    <col min="2" max="2" width="76.42578125" customWidth="1"/>
    <col min="3" max="3" width="13.28515625" bestFit="1" customWidth="1"/>
    <col min="4" max="5" width="14.5703125" customWidth="1"/>
    <col min="6" max="7" width="14.28515625" bestFit="1" customWidth="1"/>
    <col min="9" max="9" width="12.85546875" customWidth="1"/>
    <col min="10" max="11" width="13.28515625" bestFit="1" customWidth="1"/>
  </cols>
  <sheetData>
    <row r="2" spans="1:6" x14ac:dyDescent="0.25">
      <c r="C2" s="38" t="s">
        <v>18</v>
      </c>
      <c r="D2" s="38" t="s">
        <v>19</v>
      </c>
      <c r="E2" s="38" t="s">
        <v>20</v>
      </c>
    </row>
    <row r="3" spans="1:6" ht="15.75" thickBot="1" x14ac:dyDescent="0.3">
      <c r="B3" s="40" t="s">
        <v>21</v>
      </c>
      <c r="C3" s="41">
        <v>8000</v>
      </c>
      <c r="D3" s="32"/>
      <c r="E3" s="32"/>
    </row>
    <row r="4" spans="1:6" x14ac:dyDescent="0.25">
      <c r="B4" s="1" t="s">
        <v>22</v>
      </c>
      <c r="C4" s="24">
        <v>9248.5499999999993</v>
      </c>
      <c r="D4">
        <v>1</v>
      </c>
      <c r="E4" s="39">
        <f>C4*D4</f>
        <v>9248.5499999999993</v>
      </c>
    </row>
    <row r="5" spans="1:6" x14ac:dyDescent="0.25">
      <c r="B5" s="1" t="s">
        <v>23</v>
      </c>
      <c r="C5" s="30" t="s">
        <v>24</v>
      </c>
      <c r="D5" s="2"/>
      <c r="E5" s="2"/>
      <c r="F5" s="2"/>
    </row>
    <row r="6" spans="1:6" x14ac:dyDescent="0.25">
      <c r="B6" s="1"/>
      <c r="F6" s="2"/>
    </row>
    <row r="7" spans="1:6" x14ac:dyDescent="0.25">
      <c r="B7" s="3" t="s">
        <v>25</v>
      </c>
    </row>
    <row r="8" spans="1:6" ht="51" customHeight="1" x14ac:dyDescent="0.25">
      <c r="A8" s="4"/>
      <c r="B8" s="103" t="s">
        <v>26</v>
      </c>
      <c r="C8" s="103"/>
      <c r="D8" s="103"/>
      <c r="E8" s="103"/>
      <c r="F8" s="103"/>
    </row>
    <row r="9" spans="1:6" ht="30" customHeight="1" x14ac:dyDescent="0.25">
      <c r="B9" s="103" t="s">
        <v>27</v>
      </c>
      <c r="C9" s="103"/>
      <c r="D9" s="103"/>
      <c r="E9" s="103"/>
      <c r="F9" s="103"/>
    </row>
    <row r="10" spans="1:6" x14ac:dyDescent="0.25">
      <c r="B10" s="5"/>
    </row>
    <row r="11" spans="1:6" x14ac:dyDescent="0.25">
      <c r="B11" s="3" t="s">
        <v>28</v>
      </c>
    </row>
    <row r="12" spans="1:6" x14ac:dyDescent="0.25">
      <c r="B12" s="104" t="s">
        <v>29</v>
      </c>
      <c r="C12" s="104"/>
      <c r="D12" s="104"/>
      <c r="E12" s="104"/>
      <c r="F12" s="104"/>
    </row>
    <row r="13" spans="1:6" ht="78.75" customHeight="1" x14ac:dyDescent="0.25">
      <c r="B13" s="103" t="s">
        <v>30</v>
      </c>
      <c r="C13" s="103"/>
      <c r="D13" s="103"/>
      <c r="E13" s="103"/>
      <c r="F13" s="103"/>
    </row>
    <row r="14" spans="1:6" ht="33" customHeight="1" x14ac:dyDescent="0.25">
      <c r="B14" s="103" t="s">
        <v>31</v>
      </c>
      <c r="C14" s="103"/>
      <c r="D14" s="103"/>
      <c r="E14" s="103"/>
      <c r="F14" s="103"/>
    </row>
    <row r="15" spans="1:6" ht="33.75" customHeight="1" x14ac:dyDescent="0.25">
      <c r="B15" s="103" t="s">
        <v>32</v>
      </c>
      <c r="C15" s="103"/>
      <c r="D15" s="103"/>
      <c r="E15" s="103"/>
      <c r="F15" s="103"/>
    </row>
    <row r="18" spans="2:10" x14ac:dyDescent="0.25">
      <c r="B18" s="6" t="s">
        <v>33</v>
      </c>
    </row>
    <row r="19" spans="2:10" x14ac:dyDescent="0.25">
      <c r="B19" s="37" t="s">
        <v>34</v>
      </c>
      <c r="C19" s="38" t="s">
        <v>18</v>
      </c>
      <c r="D19" s="38" t="s">
        <v>19</v>
      </c>
      <c r="E19" s="38" t="s">
        <v>20</v>
      </c>
    </row>
    <row r="20" spans="2:10" x14ac:dyDescent="0.25">
      <c r="B20" s="7" t="s">
        <v>35</v>
      </c>
      <c r="C20" s="8">
        <v>754</v>
      </c>
      <c r="D20">
        <v>1</v>
      </c>
      <c r="E20" s="33">
        <f>C20*D20</f>
        <v>754</v>
      </c>
    </row>
    <row r="21" spans="2:10" ht="15.75" thickBot="1" x14ac:dyDescent="0.3">
      <c r="B21" s="9" t="s">
        <v>36</v>
      </c>
      <c r="C21" s="10">
        <v>0</v>
      </c>
      <c r="D21" s="32"/>
      <c r="E21" s="32"/>
    </row>
    <row r="22" spans="2:10" x14ac:dyDescent="0.25">
      <c r="B22" s="11" t="s">
        <v>37</v>
      </c>
      <c r="C22" s="66">
        <f>SUM(C20:C21)</f>
        <v>754</v>
      </c>
      <c r="D22">
        <v>1</v>
      </c>
      <c r="E22" s="13">
        <f>C22*D22</f>
        <v>754</v>
      </c>
    </row>
    <row r="23" spans="2:10" x14ac:dyDescent="0.25">
      <c r="B23" s="7"/>
      <c r="C23" s="12"/>
    </row>
    <row r="24" spans="2:10" ht="15.75" thickBot="1" x14ac:dyDescent="0.3">
      <c r="B24" s="35"/>
      <c r="C24" s="36" t="s">
        <v>18</v>
      </c>
      <c r="D24" s="36" t="s">
        <v>19</v>
      </c>
      <c r="E24" s="36" t="s">
        <v>20</v>
      </c>
    </row>
    <row r="25" spans="2:10" s="23" customFormat="1" ht="30" x14ac:dyDescent="0.25">
      <c r="B25" s="31" t="s">
        <v>38</v>
      </c>
      <c r="C25" s="51">
        <v>28644</v>
      </c>
      <c r="D25" s="23">
        <v>1</v>
      </c>
      <c r="E25" s="65">
        <f>C25*D25</f>
        <v>28644</v>
      </c>
    </row>
    <row r="26" spans="2:10" x14ac:dyDescent="0.25">
      <c r="B26" s="7"/>
      <c r="C26" s="12"/>
    </row>
    <row r="27" spans="2:10" x14ac:dyDescent="0.25">
      <c r="B27" s="42" t="s">
        <v>39</v>
      </c>
      <c r="C27" s="43"/>
      <c r="D27" s="44"/>
      <c r="E27" s="45">
        <f>E25+E22+E4</f>
        <v>38646.550000000003</v>
      </c>
    </row>
    <row r="28" spans="2:10" x14ac:dyDescent="0.25">
      <c r="B28" s="7"/>
      <c r="C28" s="12"/>
    </row>
    <row r="29" spans="2:10" x14ac:dyDescent="0.25">
      <c r="B29" s="7"/>
      <c r="C29" s="12"/>
    </row>
    <row r="30" spans="2:10" s="23" customFormat="1" ht="45.75" thickBot="1" x14ac:dyDescent="0.3">
      <c r="B30" s="46" t="s">
        <v>40</v>
      </c>
      <c r="C30" s="47" t="s">
        <v>41</v>
      </c>
      <c r="D30" s="49" t="s">
        <v>18</v>
      </c>
      <c r="E30" s="50" t="s">
        <v>42</v>
      </c>
      <c r="F30" s="49" t="s">
        <v>20</v>
      </c>
      <c r="H30" s="102"/>
      <c r="I30" s="102"/>
      <c r="J30" s="102"/>
    </row>
    <row r="31" spans="2:10" x14ac:dyDescent="0.25">
      <c r="B31" t="s">
        <v>43</v>
      </c>
      <c r="C31" s="15">
        <v>1</v>
      </c>
      <c r="D31" s="74">
        <v>754</v>
      </c>
      <c r="E31" s="15">
        <f>'Custos para Abertura de Filiais'!C7-'Custos para Abertura de Filiais'!D7</f>
        <v>26</v>
      </c>
      <c r="F31" s="67">
        <f>D31*E31</f>
        <v>19604</v>
      </c>
      <c r="H31" s="2"/>
      <c r="I31" s="2"/>
      <c r="J31" s="2"/>
    </row>
    <row r="32" spans="2:10" x14ac:dyDescent="0.25">
      <c r="B32" t="s">
        <v>44</v>
      </c>
      <c r="C32" s="15">
        <v>1</v>
      </c>
      <c r="D32" s="75">
        <v>630</v>
      </c>
      <c r="E32" s="15">
        <f>E31</f>
        <v>26</v>
      </c>
      <c r="F32" s="67">
        <f t="shared" ref="F32:F33" si="0">D32*E32</f>
        <v>16380</v>
      </c>
    </row>
    <row r="33" spans="2:10" ht="15.75" thickBot="1" x14ac:dyDescent="0.3">
      <c r="B33" s="32" t="s">
        <v>5</v>
      </c>
      <c r="C33" s="34">
        <v>1</v>
      </c>
      <c r="D33" s="76">
        <v>550</v>
      </c>
      <c r="E33" s="34">
        <v>13</v>
      </c>
      <c r="F33" s="77">
        <f t="shared" si="0"/>
        <v>7150</v>
      </c>
    </row>
    <row r="34" spans="2:10" x14ac:dyDescent="0.25">
      <c r="B34" s="48" t="s">
        <v>3</v>
      </c>
      <c r="F34" s="13">
        <f>SUM(F31:F33)</f>
        <v>43134</v>
      </c>
      <c r="H34" s="18"/>
      <c r="I34" s="18"/>
      <c r="J34" s="18"/>
    </row>
    <row r="36" spans="2:10" x14ac:dyDescent="0.25">
      <c r="B36" s="42" t="s">
        <v>45</v>
      </c>
      <c r="C36" s="43"/>
      <c r="D36" s="43"/>
      <c r="E36" s="43"/>
      <c r="F36" s="43">
        <f>F34</f>
        <v>43134</v>
      </c>
    </row>
    <row r="38" spans="2:10" x14ac:dyDescent="0.25">
      <c r="F38" s="2"/>
      <c r="G38" s="2"/>
    </row>
    <row r="39" spans="2:10" x14ac:dyDescent="0.25">
      <c r="F39" s="2"/>
    </row>
  </sheetData>
  <mergeCells count="7">
    <mergeCell ref="H30:J30"/>
    <mergeCell ref="B8:F8"/>
    <mergeCell ref="B9:F9"/>
    <mergeCell ref="B12:F12"/>
    <mergeCell ref="B13:F13"/>
    <mergeCell ref="B14:F14"/>
    <mergeCell ref="B15:F15"/>
  </mergeCells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0"/>
  </sheetPr>
  <dimension ref="A2:N49"/>
  <sheetViews>
    <sheetView topLeftCell="B1" workbookViewId="0">
      <selection activeCell="J7" sqref="J7"/>
    </sheetView>
  </sheetViews>
  <sheetFormatPr defaultRowHeight="15" outlineLevelRow="1" outlineLevelCol="1" x14ac:dyDescent="0.25"/>
  <cols>
    <col min="2" max="2" width="39.42578125" customWidth="1"/>
    <col min="3" max="3" width="12.140625" bestFit="1" customWidth="1"/>
    <col min="4" max="4" width="12.7109375" style="15" customWidth="1" outlineLevel="1"/>
    <col min="5" max="5" width="15.85546875" style="15" customWidth="1" outlineLevel="1"/>
    <col min="6" max="6" width="11.28515625" style="15" customWidth="1" outlineLevel="1"/>
    <col min="7" max="8" width="12.7109375" style="15" customWidth="1" outlineLevel="1"/>
    <col min="9" max="9" width="13.85546875" style="15" customWidth="1"/>
    <col min="10" max="11" width="14.28515625" style="15" customWidth="1" outlineLevel="1"/>
    <col min="12" max="12" width="13.7109375" customWidth="1"/>
    <col min="13" max="13" width="14.28515625" bestFit="1" customWidth="1"/>
    <col min="15" max="15" width="13.28515625" bestFit="1" customWidth="1"/>
  </cols>
  <sheetData>
    <row r="2" spans="2:14" x14ac:dyDescent="0.25">
      <c r="B2" s="3" t="s">
        <v>46</v>
      </c>
      <c r="C2" s="12">
        <v>300</v>
      </c>
      <c r="D2" s="67">
        <f>C2*25</f>
        <v>7500</v>
      </c>
    </row>
    <row r="3" spans="2:14" x14ac:dyDescent="0.25">
      <c r="B3" s="14" t="s">
        <v>47</v>
      </c>
      <c r="C3" s="12">
        <v>4000</v>
      </c>
      <c r="D3" s="67">
        <f>C3*2</f>
        <v>8000</v>
      </c>
      <c r="E3" s="67"/>
      <c r="J3" s="17"/>
      <c r="K3" s="67"/>
    </row>
    <row r="4" spans="2:14" x14ac:dyDescent="0.25">
      <c r="B4" s="3" t="s">
        <v>48</v>
      </c>
      <c r="C4" s="12">
        <v>3000</v>
      </c>
    </row>
    <row r="5" spans="2:14" x14ac:dyDescent="0.25">
      <c r="J5" s="15" t="s">
        <v>94</v>
      </c>
    </row>
    <row r="6" spans="2:14" ht="45" x14ac:dyDescent="0.25">
      <c r="B6" s="25"/>
      <c r="C6" s="26" t="s">
        <v>49</v>
      </c>
      <c r="D6" s="27" t="s">
        <v>50</v>
      </c>
      <c r="E6" s="28" t="s">
        <v>51</v>
      </c>
      <c r="F6" s="28" t="s">
        <v>52</v>
      </c>
      <c r="G6" s="28" t="s">
        <v>53</v>
      </c>
      <c r="H6" s="29" t="s">
        <v>54</v>
      </c>
      <c r="I6" s="29" t="s">
        <v>55</v>
      </c>
      <c r="J6" s="26" t="s">
        <v>56</v>
      </c>
      <c r="K6" s="26" t="s">
        <v>57</v>
      </c>
      <c r="L6" s="26" t="s">
        <v>20</v>
      </c>
      <c r="M6" s="64"/>
    </row>
    <row r="7" spans="2:14" x14ac:dyDescent="0.25">
      <c r="B7" s="3" t="s">
        <v>58</v>
      </c>
      <c r="C7" s="16">
        <f t="shared" ref="C7:C34" si="0">SUM(D7:I7)</f>
        <v>27</v>
      </c>
      <c r="D7" s="16">
        <f>SUM(D8:D34)</f>
        <v>1</v>
      </c>
      <c r="E7" s="16">
        <f t="shared" ref="E7:I7" si="1">SUM(E8:E34)</f>
        <v>1</v>
      </c>
      <c r="F7" s="16">
        <f t="shared" si="1"/>
        <v>25</v>
      </c>
      <c r="G7" s="16">
        <f t="shared" si="1"/>
        <v>0</v>
      </c>
      <c r="H7" s="16">
        <f t="shared" si="1"/>
        <v>0</v>
      </c>
      <c r="I7" s="16">
        <f t="shared" si="1"/>
        <v>0</v>
      </c>
      <c r="J7" s="17">
        <f>((D7+E7)*$C$3)+(F7*$C$2)</f>
        <v>15500</v>
      </c>
      <c r="K7" s="18">
        <f>$C$4</f>
        <v>3000</v>
      </c>
      <c r="L7" s="13">
        <f>SUM(J7:K7)</f>
        <v>18500</v>
      </c>
      <c r="N7" s="2"/>
    </row>
    <row r="8" spans="2:14" ht="15.75" customHeight="1" outlineLevel="1" x14ac:dyDescent="0.25">
      <c r="B8" t="s">
        <v>59</v>
      </c>
      <c r="C8" s="16">
        <f t="shared" si="0"/>
        <v>1</v>
      </c>
      <c r="D8" s="15">
        <f>SUM(G8:J8)</f>
        <v>0</v>
      </c>
      <c r="E8" s="15">
        <v>0</v>
      </c>
      <c r="F8" s="15">
        <v>1</v>
      </c>
      <c r="G8" s="15">
        <v>0</v>
      </c>
      <c r="H8" s="15">
        <v>0</v>
      </c>
      <c r="I8" s="15">
        <v>0</v>
      </c>
      <c r="K8" s="16"/>
      <c r="L8" s="16"/>
      <c r="M8" s="3"/>
    </row>
    <row r="9" spans="2:14" outlineLevel="1" x14ac:dyDescent="0.25">
      <c r="B9" t="s">
        <v>60</v>
      </c>
      <c r="C9" s="16">
        <f t="shared" si="0"/>
        <v>1</v>
      </c>
      <c r="D9" s="15">
        <f t="shared" ref="D9:D25" si="2">SUM(G9:J9)</f>
        <v>0</v>
      </c>
      <c r="E9" s="15">
        <v>0</v>
      </c>
      <c r="F9" s="15">
        <v>1</v>
      </c>
      <c r="G9" s="15">
        <v>0</v>
      </c>
      <c r="H9" s="15">
        <v>0</v>
      </c>
      <c r="I9" s="15">
        <v>0</v>
      </c>
      <c r="J9" s="16"/>
      <c r="K9" s="16"/>
      <c r="L9" s="16"/>
      <c r="M9" s="3"/>
    </row>
    <row r="10" spans="2:14" outlineLevel="1" x14ac:dyDescent="0.25">
      <c r="B10" t="s">
        <v>61</v>
      </c>
      <c r="C10" s="16">
        <f t="shared" si="0"/>
        <v>1</v>
      </c>
      <c r="D10" s="15">
        <f t="shared" si="2"/>
        <v>0</v>
      </c>
      <c r="E10" s="15">
        <v>0</v>
      </c>
      <c r="F10" s="15">
        <v>1</v>
      </c>
      <c r="G10" s="15">
        <v>0</v>
      </c>
      <c r="H10" s="15">
        <v>0</v>
      </c>
      <c r="I10" s="15">
        <v>0</v>
      </c>
      <c r="J10" s="16"/>
      <c r="K10" s="16"/>
      <c r="L10" s="16"/>
      <c r="M10" s="3"/>
    </row>
    <row r="11" spans="2:14" outlineLevel="1" x14ac:dyDescent="0.25">
      <c r="B11" t="s">
        <v>62</v>
      </c>
      <c r="C11" s="16">
        <f t="shared" si="0"/>
        <v>1</v>
      </c>
      <c r="D11" s="15">
        <f t="shared" si="2"/>
        <v>0</v>
      </c>
      <c r="E11" s="15">
        <v>0</v>
      </c>
      <c r="F11" s="15">
        <v>1</v>
      </c>
      <c r="G11" s="15">
        <v>0</v>
      </c>
      <c r="H11" s="15">
        <v>0</v>
      </c>
      <c r="I11" s="15">
        <v>0</v>
      </c>
      <c r="J11" s="16"/>
      <c r="K11" s="16"/>
      <c r="L11" s="16"/>
      <c r="M11" s="3"/>
    </row>
    <row r="12" spans="2:14" outlineLevel="1" x14ac:dyDescent="0.25">
      <c r="B12" t="s">
        <v>63</v>
      </c>
      <c r="C12" s="16">
        <f t="shared" si="0"/>
        <v>1</v>
      </c>
      <c r="D12" s="15">
        <f t="shared" si="2"/>
        <v>0</v>
      </c>
      <c r="E12" s="15">
        <v>0</v>
      </c>
      <c r="F12" s="15">
        <v>1</v>
      </c>
      <c r="G12" s="15">
        <v>0</v>
      </c>
      <c r="H12" s="15">
        <v>0</v>
      </c>
      <c r="I12" s="15">
        <v>0</v>
      </c>
      <c r="J12" s="16"/>
      <c r="K12" s="16"/>
      <c r="L12" s="16"/>
      <c r="M12" s="3"/>
    </row>
    <row r="13" spans="2:14" outlineLevel="1" x14ac:dyDescent="0.25">
      <c r="B13" t="s">
        <v>64</v>
      </c>
      <c r="C13" s="16">
        <f t="shared" si="0"/>
        <v>1</v>
      </c>
      <c r="D13" s="15">
        <f t="shared" si="2"/>
        <v>0</v>
      </c>
      <c r="E13" s="15">
        <v>0</v>
      </c>
      <c r="F13" s="15">
        <v>1</v>
      </c>
      <c r="G13" s="15">
        <v>0</v>
      </c>
      <c r="H13" s="15">
        <v>0</v>
      </c>
      <c r="I13" s="15">
        <v>0</v>
      </c>
      <c r="J13" s="16"/>
      <c r="K13" s="16"/>
      <c r="L13" s="16"/>
      <c r="M13" s="3"/>
    </row>
    <row r="14" spans="2:14" outlineLevel="1" x14ac:dyDescent="0.25">
      <c r="B14" t="s">
        <v>65</v>
      </c>
      <c r="C14" s="16">
        <f t="shared" si="0"/>
        <v>1</v>
      </c>
      <c r="D14" s="15">
        <f t="shared" si="2"/>
        <v>0</v>
      </c>
      <c r="E14" s="15">
        <v>0</v>
      </c>
      <c r="F14" s="15">
        <v>1</v>
      </c>
      <c r="G14" s="15">
        <v>0</v>
      </c>
      <c r="H14" s="15">
        <v>0</v>
      </c>
      <c r="I14" s="15">
        <v>0</v>
      </c>
      <c r="J14" s="16"/>
      <c r="K14" s="16"/>
      <c r="L14" s="16"/>
      <c r="M14" s="3"/>
    </row>
    <row r="15" spans="2:14" outlineLevel="1" x14ac:dyDescent="0.25">
      <c r="B15" t="s">
        <v>66</v>
      </c>
      <c r="C15" s="16">
        <f t="shared" si="0"/>
        <v>1</v>
      </c>
      <c r="D15" s="15">
        <f t="shared" si="2"/>
        <v>0</v>
      </c>
      <c r="E15" s="15">
        <v>0</v>
      </c>
      <c r="F15" s="15">
        <v>1</v>
      </c>
      <c r="G15" s="15">
        <v>0</v>
      </c>
      <c r="H15" s="15">
        <v>0</v>
      </c>
      <c r="I15" s="15">
        <v>0</v>
      </c>
      <c r="J15" s="16"/>
      <c r="K15" s="16"/>
      <c r="L15" s="16"/>
      <c r="M15" s="3"/>
    </row>
    <row r="16" spans="2:14" outlineLevel="1" x14ac:dyDescent="0.25">
      <c r="B16" t="s">
        <v>67</v>
      </c>
      <c r="C16" s="16">
        <f t="shared" si="0"/>
        <v>1</v>
      </c>
      <c r="D16" s="15">
        <f t="shared" si="2"/>
        <v>0</v>
      </c>
      <c r="E16" s="15">
        <v>0</v>
      </c>
      <c r="F16" s="15">
        <v>1</v>
      </c>
      <c r="G16" s="15">
        <v>0</v>
      </c>
      <c r="H16" s="15">
        <v>0</v>
      </c>
      <c r="I16" s="15">
        <v>0</v>
      </c>
      <c r="J16" s="16"/>
      <c r="K16" s="16"/>
      <c r="L16" s="16"/>
      <c r="M16" s="3"/>
    </row>
    <row r="17" spans="2:14" outlineLevel="1" x14ac:dyDescent="0.25">
      <c r="B17" t="s">
        <v>68</v>
      </c>
      <c r="C17" s="16">
        <f t="shared" si="0"/>
        <v>1</v>
      </c>
      <c r="D17" s="15">
        <f t="shared" si="2"/>
        <v>0</v>
      </c>
      <c r="E17" s="15">
        <v>0</v>
      </c>
      <c r="F17" s="15">
        <v>1</v>
      </c>
      <c r="G17" s="15">
        <v>0</v>
      </c>
      <c r="H17" s="15">
        <v>0</v>
      </c>
      <c r="I17" s="15">
        <v>0</v>
      </c>
      <c r="J17" s="16"/>
      <c r="K17" s="16"/>
      <c r="L17" s="16"/>
      <c r="M17" s="3"/>
    </row>
    <row r="18" spans="2:14" outlineLevel="1" x14ac:dyDescent="0.25">
      <c r="B18" t="s">
        <v>69</v>
      </c>
      <c r="C18" s="16">
        <f t="shared" si="0"/>
        <v>1</v>
      </c>
      <c r="D18" s="15">
        <f t="shared" si="2"/>
        <v>0</v>
      </c>
      <c r="E18" s="15">
        <v>0</v>
      </c>
      <c r="F18" s="15">
        <v>1</v>
      </c>
      <c r="G18" s="15">
        <v>0</v>
      </c>
      <c r="H18" s="15">
        <v>0</v>
      </c>
      <c r="I18" s="15">
        <v>0</v>
      </c>
      <c r="J18" s="16"/>
      <c r="K18" s="16"/>
      <c r="L18" s="16"/>
      <c r="M18" s="3"/>
    </row>
    <row r="19" spans="2:14" outlineLevel="1" x14ac:dyDescent="0.25">
      <c r="B19" t="s">
        <v>70</v>
      </c>
      <c r="C19" s="16">
        <f t="shared" si="0"/>
        <v>1</v>
      </c>
      <c r="D19" s="15">
        <f t="shared" si="2"/>
        <v>0</v>
      </c>
      <c r="E19" s="15">
        <v>0</v>
      </c>
      <c r="F19" s="15">
        <v>1</v>
      </c>
      <c r="G19" s="15">
        <v>0</v>
      </c>
      <c r="H19" s="15">
        <v>0</v>
      </c>
      <c r="I19" s="15">
        <v>0</v>
      </c>
      <c r="J19" s="16"/>
      <c r="K19" s="16"/>
      <c r="L19" s="16"/>
      <c r="M19" s="3"/>
    </row>
    <row r="20" spans="2:14" outlineLevel="1" x14ac:dyDescent="0.25">
      <c r="B20" t="s">
        <v>71</v>
      </c>
      <c r="C20" s="16">
        <f t="shared" si="0"/>
        <v>1</v>
      </c>
      <c r="D20" s="15">
        <f t="shared" si="2"/>
        <v>0</v>
      </c>
      <c r="E20" s="15">
        <v>0</v>
      </c>
      <c r="F20" s="15">
        <v>1</v>
      </c>
      <c r="G20" s="15">
        <v>0</v>
      </c>
      <c r="H20" s="15">
        <v>0</v>
      </c>
      <c r="I20" s="15">
        <v>0</v>
      </c>
      <c r="J20" s="16"/>
      <c r="K20" s="16"/>
      <c r="L20" s="16"/>
      <c r="M20" s="3"/>
    </row>
    <row r="21" spans="2:14" outlineLevel="1" x14ac:dyDescent="0.25">
      <c r="B21" t="s">
        <v>72</v>
      </c>
      <c r="C21" s="16">
        <f t="shared" si="0"/>
        <v>1</v>
      </c>
      <c r="D21" s="15">
        <f t="shared" si="2"/>
        <v>0</v>
      </c>
      <c r="E21" s="15">
        <v>0</v>
      </c>
      <c r="F21" s="15">
        <v>1</v>
      </c>
      <c r="G21" s="15">
        <v>0</v>
      </c>
      <c r="H21" s="15">
        <v>0</v>
      </c>
      <c r="I21" s="15">
        <v>0</v>
      </c>
      <c r="J21" s="16"/>
      <c r="K21" s="16"/>
      <c r="L21" s="16"/>
      <c r="M21" s="3"/>
    </row>
    <row r="22" spans="2:14" outlineLevel="1" x14ac:dyDescent="0.25">
      <c r="B22" t="s">
        <v>73</v>
      </c>
      <c r="C22" s="16">
        <f t="shared" si="0"/>
        <v>1</v>
      </c>
      <c r="D22" s="15">
        <f t="shared" si="2"/>
        <v>0</v>
      </c>
      <c r="E22" s="15">
        <v>0</v>
      </c>
      <c r="F22" s="15">
        <v>1</v>
      </c>
      <c r="G22" s="15">
        <v>0</v>
      </c>
      <c r="H22" s="15">
        <v>0</v>
      </c>
      <c r="I22" s="15">
        <v>0</v>
      </c>
      <c r="J22" s="16"/>
      <c r="K22" s="16"/>
      <c r="L22" s="16"/>
      <c r="M22" s="3"/>
    </row>
    <row r="23" spans="2:14" outlineLevel="1" x14ac:dyDescent="0.25">
      <c r="B23" t="s">
        <v>74</v>
      </c>
      <c r="C23" s="16">
        <f t="shared" si="0"/>
        <v>1</v>
      </c>
      <c r="D23" s="15">
        <f t="shared" si="2"/>
        <v>0</v>
      </c>
      <c r="E23" s="15">
        <v>0</v>
      </c>
      <c r="F23" s="15">
        <v>1</v>
      </c>
      <c r="G23" s="15">
        <v>0</v>
      </c>
      <c r="H23" s="15">
        <v>0</v>
      </c>
      <c r="I23" s="15">
        <v>0</v>
      </c>
      <c r="J23" s="16"/>
      <c r="K23" s="16"/>
      <c r="L23" s="16"/>
      <c r="M23" s="3"/>
    </row>
    <row r="24" spans="2:14" outlineLevel="1" x14ac:dyDescent="0.25">
      <c r="B24" t="s">
        <v>75</v>
      </c>
      <c r="C24" s="16">
        <f t="shared" si="0"/>
        <v>1</v>
      </c>
      <c r="D24" s="15">
        <f t="shared" si="2"/>
        <v>0</v>
      </c>
      <c r="E24" s="15">
        <v>0</v>
      </c>
      <c r="F24" s="15">
        <v>1</v>
      </c>
      <c r="G24" s="15">
        <v>0</v>
      </c>
      <c r="H24" s="15">
        <v>0</v>
      </c>
      <c r="I24" s="15">
        <v>0</v>
      </c>
      <c r="J24" s="16"/>
      <c r="K24" s="16"/>
      <c r="L24" s="16"/>
      <c r="M24" s="3"/>
    </row>
    <row r="25" spans="2:14" outlineLevel="1" x14ac:dyDescent="0.25">
      <c r="B25" t="s">
        <v>76</v>
      </c>
      <c r="C25" s="16">
        <f t="shared" si="0"/>
        <v>1</v>
      </c>
      <c r="D25" s="15">
        <f t="shared" si="2"/>
        <v>0</v>
      </c>
      <c r="E25" s="15">
        <v>0</v>
      </c>
      <c r="F25" s="15">
        <v>1</v>
      </c>
      <c r="G25" s="15">
        <v>0</v>
      </c>
      <c r="H25" s="15">
        <v>0</v>
      </c>
      <c r="I25" s="15">
        <v>0</v>
      </c>
      <c r="J25" s="16"/>
      <c r="K25" s="16"/>
      <c r="L25" s="16"/>
      <c r="M25" s="3"/>
    </row>
    <row r="26" spans="2:14" s="3" customFormat="1" outlineLevel="1" x14ac:dyDescent="0.25">
      <c r="B26" s="3" t="s">
        <v>77</v>
      </c>
      <c r="C26" s="16">
        <f t="shared" si="0"/>
        <v>1</v>
      </c>
      <c r="D26" s="16">
        <v>1</v>
      </c>
      <c r="E26" s="16">
        <v>0</v>
      </c>
      <c r="F26" s="15">
        <v>0</v>
      </c>
      <c r="G26" s="15">
        <v>0</v>
      </c>
      <c r="H26" s="15">
        <v>0</v>
      </c>
      <c r="I26" s="15">
        <v>0</v>
      </c>
      <c r="J26" s="16"/>
      <c r="K26" s="16"/>
      <c r="L26" s="16"/>
    </row>
    <row r="27" spans="2:14" s="3" customFormat="1" outlineLevel="1" x14ac:dyDescent="0.25">
      <c r="B27" s="3" t="s">
        <v>78</v>
      </c>
      <c r="C27" s="16">
        <f t="shared" si="0"/>
        <v>1</v>
      </c>
      <c r="D27" s="15">
        <f t="shared" ref="D27:D34" si="3">SUM(G27:J27)</f>
        <v>0</v>
      </c>
      <c r="E27" s="16">
        <v>1</v>
      </c>
      <c r="F27" s="15">
        <v>0</v>
      </c>
      <c r="G27" s="15">
        <v>0</v>
      </c>
      <c r="H27" s="15">
        <v>0</v>
      </c>
      <c r="I27" s="15">
        <v>0</v>
      </c>
      <c r="J27" s="16"/>
      <c r="K27" s="16"/>
      <c r="L27" s="16"/>
    </row>
    <row r="28" spans="2:14" outlineLevel="1" x14ac:dyDescent="0.25">
      <c r="B28" t="s">
        <v>79</v>
      </c>
      <c r="C28" s="16">
        <f t="shared" si="0"/>
        <v>1</v>
      </c>
      <c r="D28" s="15">
        <f t="shared" si="3"/>
        <v>0</v>
      </c>
      <c r="E28" s="15">
        <v>0</v>
      </c>
      <c r="F28" s="15">
        <v>1</v>
      </c>
      <c r="G28" s="15">
        <v>0</v>
      </c>
      <c r="H28" s="15">
        <v>0</v>
      </c>
      <c r="I28" s="15">
        <v>0</v>
      </c>
      <c r="J28" s="16"/>
      <c r="K28" s="16"/>
      <c r="L28" s="16"/>
      <c r="M28" s="3"/>
    </row>
    <row r="29" spans="2:14" outlineLevel="1" x14ac:dyDescent="0.25">
      <c r="B29" t="s">
        <v>80</v>
      </c>
      <c r="C29" s="16">
        <f t="shared" si="0"/>
        <v>1</v>
      </c>
      <c r="D29" s="15">
        <f t="shared" si="3"/>
        <v>0</v>
      </c>
      <c r="E29" s="15">
        <v>0</v>
      </c>
      <c r="F29" s="15">
        <v>1</v>
      </c>
      <c r="G29" s="15">
        <v>0</v>
      </c>
      <c r="H29" s="15">
        <v>0</v>
      </c>
      <c r="I29" s="15">
        <v>0</v>
      </c>
      <c r="J29" s="16"/>
      <c r="K29" s="16"/>
      <c r="L29" s="16"/>
      <c r="M29" s="3"/>
    </row>
    <row r="30" spans="2:14" outlineLevel="1" x14ac:dyDescent="0.25">
      <c r="B30" t="s">
        <v>81</v>
      </c>
      <c r="C30" s="16">
        <f t="shared" si="0"/>
        <v>1</v>
      </c>
      <c r="D30" s="15">
        <f t="shared" si="3"/>
        <v>0</v>
      </c>
      <c r="E30" s="15">
        <v>0</v>
      </c>
      <c r="F30" s="15">
        <v>1</v>
      </c>
      <c r="G30" s="15">
        <v>0</v>
      </c>
      <c r="H30" s="15">
        <v>0</v>
      </c>
      <c r="I30" s="15">
        <v>0</v>
      </c>
      <c r="J30" s="16"/>
      <c r="K30" s="16"/>
      <c r="L30" s="16"/>
      <c r="M30" s="3"/>
    </row>
    <row r="31" spans="2:14" s="3" customFormat="1" outlineLevel="1" x14ac:dyDescent="0.25">
      <c r="B31" t="s">
        <v>82</v>
      </c>
      <c r="C31" s="16">
        <f t="shared" si="0"/>
        <v>1</v>
      </c>
      <c r="D31" s="15">
        <f t="shared" si="3"/>
        <v>0</v>
      </c>
      <c r="E31" s="15">
        <v>0</v>
      </c>
      <c r="F31" s="15">
        <v>1</v>
      </c>
      <c r="G31" s="15">
        <v>0</v>
      </c>
      <c r="H31" s="15">
        <v>0</v>
      </c>
      <c r="I31" s="15">
        <v>0</v>
      </c>
      <c r="J31" s="16"/>
      <c r="K31" s="16"/>
      <c r="L31" s="16"/>
      <c r="N31"/>
    </row>
    <row r="32" spans="2:14" outlineLevel="1" x14ac:dyDescent="0.25">
      <c r="B32" t="s">
        <v>83</v>
      </c>
      <c r="C32" s="16">
        <f t="shared" si="0"/>
        <v>1</v>
      </c>
      <c r="D32" s="15">
        <f t="shared" si="3"/>
        <v>0</v>
      </c>
      <c r="E32" s="15">
        <v>0</v>
      </c>
      <c r="F32" s="15">
        <v>1</v>
      </c>
      <c r="G32" s="15">
        <v>0</v>
      </c>
      <c r="H32" s="15">
        <v>0</v>
      </c>
      <c r="I32" s="15">
        <v>0</v>
      </c>
      <c r="J32" s="16"/>
      <c r="K32" s="16"/>
      <c r="L32" s="16"/>
      <c r="M32" s="3"/>
    </row>
    <row r="33" spans="1:13" outlineLevel="1" x14ac:dyDescent="0.25">
      <c r="B33" t="s">
        <v>84</v>
      </c>
      <c r="C33" s="16">
        <f t="shared" si="0"/>
        <v>1</v>
      </c>
      <c r="D33" s="15">
        <f t="shared" si="3"/>
        <v>0</v>
      </c>
      <c r="E33" s="15">
        <v>0</v>
      </c>
      <c r="F33" s="15">
        <v>1</v>
      </c>
      <c r="G33" s="15">
        <v>0</v>
      </c>
      <c r="H33" s="15">
        <v>0</v>
      </c>
      <c r="I33" s="15">
        <v>0</v>
      </c>
      <c r="J33" s="16"/>
      <c r="K33" s="16"/>
      <c r="L33" s="16"/>
      <c r="M33" s="3"/>
    </row>
    <row r="34" spans="1:13" outlineLevel="1" x14ac:dyDescent="0.25">
      <c r="B34" t="s">
        <v>85</v>
      </c>
      <c r="C34" s="16">
        <f t="shared" si="0"/>
        <v>1</v>
      </c>
      <c r="D34" s="15">
        <f t="shared" si="3"/>
        <v>0</v>
      </c>
      <c r="E34" s="15">
        <v>0</v>
      </c>
      <c r="F34" s="15">
        <v>1</v>
      </c>
      <c r="G34" s="15">
        <v>0</v>
      </c>
      <c r="H34" s="15">
        <v>0</v>
      </c>
      <c r="I34" s="15">
        <v>0</v>
      </c>
      <c r="J34" s="16"/>
      <c r="K34" s="16"/>
      <c r="L34" s="16"/>
      <c r="M34" s="3"/>
    </row>
    <row r="36" spans="1:13" x14ac:dyDescent="0.25">
      <c r="B36" s="3" t="s">
        <v>86</v>
      </c>
    </row>
    <row r="37" spans="1:13" x14ac:dyDescent="0.25">
      <c r="B37" t="s">
        <v>87</v>
      </c>
    </row>
    <row r="38" spans="1:13" x14ac:dyDescent="0.25">
      <c r="B38" t="s">
        <v>88</v>
      </c>
    </row>
    <row r="39" spans="1:13" x14ac:dyDescent="0.25">
      <c r="B39" s="19" t="s">
        <v>89</v>
      </c>
    </row>
    <row r="40" spans="1:13" x14ac:dyDescent="0.25">
      <c r="B40" s="19" t="s">
        <v>90</v>
      </c>
    </row>
    <row r="41" spans="1:13" x14ac:dyDescent="0.25">
      <c r="B41" s="19" t="s">
        <v>91</v>
      </c>
    </row>
    <row r="42" spans="1:13" s="15" customFormat="1" x14ac:dyDescent="0.25">
      <c r="A42"/>
      <c r="B42" s="20"/>
      <c r="C42"/>
      <c r="L42"/>
    </row>
    <row r="43" spans="1:13" s="15" customFormat="1" x14ac:dyDescent="0.25">
      <c r="A43"/>
      <c r="B43" s="3" t="s">
        <v>92</v>
      </c>
      <c r="C43"/>
      <c r="L43"/>
    </row>
    <row r="44" spans="1:13" s="15" customFormat="1" x14ac:dyDescent="0.25">
      <c r="A44" s="21">
        <v>6</v>
      </c>
      <c r="B44" s="22" t="s">
        <v>7</v>
      </c>
      <c r="C44"/>
      <c r="L44"/>
    </row>
    <row r="45" spans="1:13" s="15" customFormat="1" x14ac:dyDescent="0.25">
      <c r="A45" s="21">
        <v>14</v>
      </c>
      <c r="B45" s="22" t="s">
        <v>8</v>
      </c>
      <c r="C45"/>
      <c r="L45"/>
    </row>
    <row r="46" spans="1:13" s="15" customFormat="1" x14ac:dyDescent="0.25">
      <c r="A46" s="21">
        <v>16</v>
      </c>
      <c r="B46" s="22" t="s">
        <v>9</v>
      </c>
      <c r="C46"/>
      <c r="L46"/>
    </row>
    <row r="47" spans="1:13" s="15" customFormat="1" x14ac:dyDescent="0.25">
      <c r="A47" s="21">
        <v>19</v>
      </c>
      <c r="B47" s="22" t="s">
        <v>10</v>
      </c>
      <c r="C47"/>
      <c r="L47"/>
    </row>
    <row r="49" spans="1:12" s="15" customFormat="1" x14ac:dyDescent="0.25">
      <c r="A49"/>
      <c r="B49" s="3"/>
      <c r="C49"/>
      <c r="L49"/>
    </row>
  </sheetData>
  <sortState ref="B7:K37">
    <sortCondition ref="B7"/>
  </sortState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-0.249977111117893"/>
  </sheetPr>
  <dimension ref="B1:I33"/>
  <sheetViews>
    <sheetView showGridLines="0"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H6" sqref="H6"/>
    </sheetView>
  </sheetViews>
  <sheetFormatPr defaultRowHeight="15" x14ac:dyDescent="0.25"/>
  <cols>
    <col min="1" max="1" width="3" customWidth="1"/>
    <col min="2" max="2" width="4.42578125" customWidth="1"/>
    <col min="3" max="3" width="8.140625" customWidth="1"/>
    <col min="4" max="4" width="15.28515625" customWidth="1"/>
    <col min="5" max="5" width="35.140625" customWidth="1"/>
    <col min="6" max="6" width="9.42578125" customWidth="1"/>
    <col min="7" max="7" width="14" customWidth="1"/>
    <col min="8" max="8" width="14.28515625" bestFit="1" customWidth="1"/>
  </cols>
  <sheetData>
    <row r="1" spans="2:7" ht="30" x14ac:dyDescent="0.25">
      <c r="B1" s="95" t="s">
        <v>135</v>
      </c>
      <c r="C1" s="95" t="s">
        <v>134</v>
      </c>
      <c r="D1" s="95" t="s">
        <v>133</v>
      </c>
      <c r="E1" s="95" t="s">
        <v>132</v>
      </c>
      <c r="F1" s="95" t="s">
        <v>131</v>
      </c>
      <c r="G1" s="94" t="s">
        <v>130</v>
      </c>
    </row>
    <row r="2" spans="2:7" ht="23.25" customHeight="1" x14ac:dyDescent="0.25">
      <c r="B2" s="86">
        <v>1</v>
      </c>
      <c r="C2" s="86" t="s">
        <v>77</v>
      </c>
      <c r="D2" s="86" t="s">
        <v>129</v>
      </c>
      <c r="E2" s="91" t="s">
        <v>128</v>
      </c>
      <c r="F2" s="83">
        <v>33.74</v>
      </c>
      <c r="G2" s="87">
        <v>1806.91</v>
      </c>
    </row>
    <row r="3" spans="2:7" ht="23.25" customHeight="1" x14ac:dyDescent="0.25">
      <c r="B3" s="86">
        <v>2</v>
      </c>
      <c r="C3" s="86" t="s">
        <v>63</v>
      </c>
      <c r="D3" s="89" t="s">
        <v>113</v>
      </c>
      <c r="E3" s="91" t="s">
        <v>127</v>
      </c>
      <c r="F3" s="83">
        <v>22</v>
      </c>
      <c r="G3" s="87">
        <v>903.73</v>
      </c>
    </row>
    <row r="4" spans="2:7" ht="23.25" customHeight="1" x14ac:dyDescent="0.25">
      <c r="B4" s="86">
        <v>3</v>
      </c>
      <c r="C4" s="86" t="s">
        <v>64</v>
      </c>
      <c r="D4" s="89" t="s">
        <v>113</v>
      </c>
      <c r="E4" s="91" t="s">
        <v>126</v>
      </c>
      <c r="F4" s="83">
        <v>10</v>
      </c>
      <c r="G4" s="87">
        <v>550.1</v>
      </c>
    </row>
    <row r="5" spans="2:7" ht="23.25" customHeight="1" x14ac:dyDescent="0.25">
      <c r="B5" s="86">
        <v>4</v>
      </c>
      <c r="C5" s="86" t="s">
        <v>68</v>
      </c>
      <c r="D5" s="89" t="s">
        <v>113</v>
      </c>
      <c r="E5" s="91" t="s">
        <v>125</v>
      </c>
      <c r="F5" s="83">
        <v>36</v>
      </c>
      <c r="G5" s="87">
        <v>2169.66</v>
      </c>
    </row>
    <row r="6" spans="2:7" ht="23.25" customHeight="1" x14ac:dyDescent="0.25">
      <c r="B6" s="86">
        <v>5</v>
      </c>
      <c r="C6" s="86" t="s">
        <v>72</v>
      </c>
      <c r="D6" s="89" t="s">
        <v>113</v>
      </c>
      <c r="E6" s="91" t="s">
        <v>124</v>
      </c>
      <c r="F6" s="83">
        <v>18.3</v>
      </c>
      <c r="G6" s="87">
        <v>1405.11</v>
      </c>
    </row>
    <row r="7" spans="2:7" ht="23.25" customHeight="1" x14ac:dyDescent="0.25">
      <c r="B7" s="86">
        <v>6</v>
      </c>
      <c r="C7" s="86" t="s">
        <v>79</v>
      </c>
      <c r="D7" s="89" t="s">
        <v>113</v>
      </c>
      <c r="E7" s="91" t="s">
        <v>123</v>
      </c>
      <c r="F7" s="83">
        <v>20.8</v>
      </c>
      <c r="G7" s="87">
        <v>369.49</v>
      </c>
    </row>
    <row r="8" spans="2:7" ht="23.25" customHeight="1" x14ac:dyDescent="0.25">
      <c r="B8" s="86">
        <v>7</v>
      </c>
      <c r="C8" s="86" t="s">
        <v>85</v>
      </c>
      <c r="D8" s="89" t="s">
        <v>113</v>
      </c>
      <c r="E8" s="91" t="s">
        <v>122</v>
      </c>
      <c r="F8" s="83">
        <v>16.739999999999998</v>
      </c>
      <c r="G8" s="87">
        <v>1037.8800000000001</v>
      </c>
    </row>
    <row r="9" spans="2:7" ht="23.25" customHeight="1" x14ac:dyDescent="0.25">
      <c r="B9" s="86">
        <v>8</v>
      </c>
      <c r="C9" s="93" t="s">
        <v>59</v>
      </c>
      <c r="D9" s="89" t="s">
        <v>113</v>
      </c>
      <c r="E9" s="92" t="s">
        <v>121</v>
      </c>
      <c r="F9" s="83">
        <v>10</v>
      </c>
      <c r="G9" s="87">
        <v>391.15</v>
      </c>
    </row>
    <row r="10" spans="2:7" ht="23.25" customHeight="1" x14ac:dyDescent="0.25">
      <c r="B10" s="86">
        <v>9</v>
      </c>
      <c r="C10" s="86" t="s">
        <v>82</v>
      </c>
      <c r="D10" s="89" t="s">
        <v>113</v>
      </c>
      <c r="E10" s="91" t="s">
        <v>120</v>
      </c>
      <c r="F10" s="83">
        <v>20</v>
      </c>
      <c r="G10" s="87">
        <v>770.82</v>
      </c>
    </row>
    <row r="11" spans="2:7" ht="23.25" customHeight="1" x14ac:dyDescent="0.25">
      <c r="B11" s="86">
        <v>10</v>
      </c>
      <c r="C11" s="86" t="s">
        <v>69</v>
      </c>
      <c r="D11" s="89" t="s">
        <v>113</v>
      </c>
      <c r="E11" s="91" t="s">
        <v>119</v>
      </c>
      <c r="F11" s="83">
        <v>30</v>
      </c>
      <c r="G11" s="87">
        <v>1002.4</v>
      </c>
    </row>
    <row r="12" spans="2:7" ht="23.25" customHeight="1" x14ac:dyDescent="0.25">
      <c r="B12" s="86">
        <v>11</v>
      </c>
      <c r="C12" s="86" t="s">
        <v>76</v>
      </c>
      <c r="D12" s="89" t="s">
        <v>113</v>
      </c>
      <c r="E12" s="91" t="s">
        <v>118</v>
      </c>
      <c r="F12" s="83">
        <v>18</v>
      </c>
      <c r="G12" s="87">
        <v>695.58</v>
      </c>
    </row>
    <row r="13" spans="2:7" ht="23.25" customHeight="1" x14ac:dyDescent="0.25">
      <c r="B13" s="86">
        <v>12</v>
      </c>
      <c r="C13" s="86" t="s">
        <v>81</v>
      </c>
      <c r="D13" s="89" t="s">
        <v>113</v>
      </c>
      <c r="E13" s="91" t="s">
        <v>117</v>
      </c>
      <c r="F13" s="83">
        <v>10</v>
      </c>
      <c r="G13" s="87">
        <v>355.71</v>
      </c>
    </row>
    <row r="14" spans="2:7" ht="23.25" customHeight="1" x14ac:dyDescent="0.25">
      <c r="B14" s="86">
        <v>13</v>
      </c>
      <c r="C14" s="86" t="s">
        <v>73</v>
      </c>
      <c r="D14" s="89" t="s">
        <v>113</v>
      </c>
      <c r="E14" s="90" t="s">
        <v>116</v>
      </c>
      <c r="F14" s="83">
        <v>47</v>
      </c>
      <c r="G14" s="87">
        <v>1298.18</v>
      </c>
    </row>
    <row r="15" spans="2:7" ht="23.25" customHeight="1" x14ac:dyDescent="0.25">
      <c r="B15" s="86">
        <v>14</v>
      </c>
      <c r="C15" s="86" t="s">
        <v>66</v>
      </c>
      <c r="D15" s="89" t="s">
        <v>113</v>
      </c>
      <c r="E15" s="90" t="s">
        <v>115</v>
      </c>
      <c r="F15" s="83">
        <v>11.3</v>
      </c>
      <c r="G15" s="87">
        <v>202.59</v>
      </c>
    </row>
    <row r="16" spans="2:7" ht="23.25" customHeight="1" x14ac:dyDescent="0.25">
      <c r="B16" s="86">
        <v>15</v>
      </c>
      <c r="C16" s="86" t="s">
        <v>75</v>
      </c>
      <c r="D16" s="89" t="s">
        <v>113</v>
      </c>
      <c r="E16" s="90" t="s">
        <v>114</v>
      </c>
      <c r="F16" s="83">
        <v>22.63</v>
      </c>
      <c r="G16" s="87">
        <v>537.64</v>
      </c>
    </row>
    <row r="17" spans="2:9" ht="23.25" customHeight="1" x14ac:dyDescent="0.25">
      <c r="B17" s="86">
        <v>16</v>
      </c>
      <c r="C17" s="86" t="s">
        <v>65</v>
      </c>
      <c r="D17" s="89" t="s">
        <v>113</v>
      </c>
      <c r="E17" s="88" t="s">
        <v>112</v>
      </c>
      <c r="F17" s="83">
        <v>20</v>
      </c>
      <c r="G17" s="87">
        <v>658.46</v>
      </c>
    </row>
    <row r="18" spans="2:9" ht="23.25" customHeight="1" x14ac:dyDescent="0.25">
      <c r="B18" s="86">
        <v>17</v>
      </c>
      <c r="C18" s="85" t="s">
        <v>60</v>
      </c>
      <c r="D18" s="85" t="s">
        <v>108</v>
      </c>
      <c r="E18" s="84" t="s">
        <v>111</v>
      </c>
      <c r="F18" s="83" t="s">
        <v>98</v>
      </c>
      <c r="G18" s="82">
        <v>450</v>
      </c>
    </row>
    <row r="19" spans="2:9" ht="23.25" customHeight="1" x14ac:dyDescent="0.25">
      <c r="B19" s="86">
        <v>18</v>
      </c>
      <c r="C19" s="85" t="s">
        <v>62</v>
      </c>
      <c r="D19" s="85" t="s">
        <v>108</v>
      </c>
      <c r="E19" s="84" t="s">
        <v>110</v>
      </c>
      <c r="F19" s="83" t="s">
        <v>98</v>
      </c>
      <c r="G19" s="82">
        <v>300</v>
      </c>
    </row>
    <row r="20" spans="2:9" ht="23.25" customHeight="1" x14ac:dyDescent="0.25">
      <c r="B20" s="86">
        <v>19</v>
      </c>
      <c r="C20" s="85" t="s">
        <v>78</v>
      </c>
      <c r="D20" s="85" t="s">
        <v>108</v>
      </c>
      <c r="E20" s="84" t="s">
        <v>109</v>
      </c>
      <c r="F20" s="83" t="s">
        <v>98</v>
      </c>
      <c r="G20" s="82">
        <v>210</v>
      </c>
    </row>
    <row r="21" spans="2:9" ht="23.25" customHeight="1" x14ac:dyDescent="0.25">
      <c r="B21" s="86">
        <v>20</v>
      </c>
      <c r="C21" s="85" t="s">
        <v>80</v>
      </c>
      <c r="D21" s="85" t="s">
        <v>108</v>
      </c>
      <c r="E21" s="84" t="s">
        <v>107</v>
      </c>
      <c r="F21" s="83" t="s">
        <v>98</v>
      </c>
      <c r="G21" s="82">
        <v>374.25</v>
      </c>
    </row>
    <row r="22" spans="2:9" ht="23.25" customHeight="1" x14ac:dyDescent="0.25">
      <c r="B22" s="86">
        <v>21</v>
      </c>
      <c r="C22" s="85" t="s">
        <v>61</v>
      </c>
      <c r="D22" s="85" t="s">
        <v>100</v>
      </c>
      <c r="E22" s="84" t="s">
        <v>106</v>
      </c>
      <c r="F22" s="83" t="s">
        <v>98</v>
      </c>
      <c r="G22" s="82">
        <v>3960</v>
      </c>
    </row>
    <row r="23" spans="2:9" ht="23.25" customHeight="1" x14ac:dyDescent="0.25">
      <c r="B23" s="86">
        <v>22</v>
      </c>
      <c r="C23" s="85" t="s">
        <v>67</v>
      </c>
      <c r="D23" s="85" t="s">
        <v>100</v>
      </c>
      <c r="E23" s="84" t="s">
        <v>105</v>
      </c>
      <c r="F23" s="83" t="s">
        <v>98</v>
      </c>
      <c r="G23" s="82">
        <v>3300</v>
      </c>
    </row>
    <row r="24" spans="2:9" ht="23.25" customHeight="1" x14ac:dyDescent="0.25">
      <c r="B24" s="86">
        <v>23</v>
      </c>
      <c r="C24" s="85" t="s">
        <v>70</v>
      </c>
      <c r="D24" s="85" t="s">
        <v>100</v>
      </c>
      <c r="E24" s="84" t="s">
        <v>104</v>
      </c>
      <c r="F24" s="83" t="s">
        <v>98</v>
      </c>
      <c r="G24" s="82">
        <v>2880</v>
      </c>
    </row>
    <row r="25" spans="2:9" ht="23.25" customHeight="1" x14ac:dyDescent="0.25">
      <c r="B25" s="86">
        <v>24</v>
      </c>
      <c r="C25" s="85" t="s">
        <v>71</v>
      </c>
      <c r="D25" s="85" t="s">
        <v>100</v>
      </c>
      <c r="E25" s="84" t="s">
        <v>103</v>
      </c>
      <c r="F25" s="83" t="s">
        <v>98</v>
      </c>
      <c r="G25" s="82">
        <v>2990</v>
      </c>
    </row>
    <row r="26" spans="2:9" ht="23.25" customHeight="1" x14ac:dyDescent="0.25">
      <c r="B26" s="86">
        <v>25</v>
      </c>
      <c r="C26" s="85" t="s">
        <v>74</v>
      </c>
      <c r="D26" s="85" t="s">
        <v>100</v>
      </c>
      <c r="E26" s="84" t="s">
        <v>102</v>
      </c>
      <c r="F26" s="83" t="s">
        <v>98</v>
      </c>
      <c r="G26" s="82">
        <v>1950</v>
      </c>
    </row>
    <row r="27" spans="2:9" ht="23.25" customHeight="1" x14ac:dyDescent="0.25">
      <c r="B27" s="86">
        <v>26</v>
      </c>
      <c r="C27" s="85" t="s">
        <v>83</v>
      </c>
      <c r="D27" s="85" t="s">
        <v>100</v>
      </c>
      <c r="E27" s="84" t="s">
        <v>101</v>
      </c>
      <c r="F27" s="83" t="s">
        <v>98</v>
      </c>
      <c r="G27" s="82">
        <v>1900</v>
      </c>
    </row>
    <row r="28" spans="2:9" ht="23.25" customHeight="1" x14ac:dyDescent="0.25">
      <c r="B28" s="86">
        <v>27</v>
      </c>
      <c r="C28" s="85" t="s">
        <v>84</v>
      </c>
      <c r="D28" s="85" t="s">
        <v>100</v>
      </c>
      <c r="E28" s="84" t="s">
        <v>99</v>
      </c>
      <c r="F28" s="83" t="s">
        <v>98</v>
      </c>
      <c r="G28" s="82">
        <v>2550</v>
      </c>
    </row>
    <row r="29" spans="2:9" x14ac:dyDescent="0.25">
      <c r="G29" s="13">
        <f>SUM(G2:G28)</f>
        <v>35019.659999999996</v>
      </c>
      <c r="H29" s="2">
        <f>G29*3</f>
        <v>105058.97999999998</v>
      </c>
      <c r="I29" t="s">
        <v>141</v>
      </c>
    </row>
    <row r="31" spans="2:9" x14ac:dyDescent="0.25">
      <c r="G31" s="105">
        <f>SUM(G18:G28)</f>
        <v>20864.25</v>
      </c>
      <c r="H31" t="s">
        <v>140</v>
      </c>
    </row>
    <row r="33" spans="7:8" x14ac:dyDescent="0.25">
      <c r="G33" s="2">
        <f>SUM(G2:G17)</f>
        <v>14155.409999999996</v>
      </c>
      <c r="H33" t="s">
        <v>113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Resumo</vt:lpstr>
      <vt:lpstr>CREA</vt:lpstr>
      <vt:lpstr>Custos De Compra CNPJ - Societ.</vt:lpstr>
      <vt:lpstr>Custos para Abertura de Filiais</vt:lpstr>
      <vt:lpstr>Aluguel_Oi e 3º_Previsão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Charlene Santino Da Silva</dc:creator>
  <cp:keywords/>
  <dc:description/>
  <cp:lastModifiedBy>Nathalia Piltz Correa</cp:lastModifiedBy>
  <cp:revision/>
  <dcterms:created xsi:type="dcterms:W3CDTF">2024-03-25T20:46:22Z</dcterms:created>
  <dcterms:modified xsi:type="dcterms:W3CDTF">2025-01-06T20:51:07Z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6572169-9946-428c-9917-b56b5892176f_Enabled">
    <vt:lpwstr>true</vt:lpwstr>
  </property>
  <property fmtid="{D5CDD505-2E9C-101B-9397-08002B2CF9AE}" pid="3" name="MSIP_Label_36572169-9946-428c-9917-b56b5892176f_SetDate">
    <vt:lpwstr>2025-01-02T13:08:40Z</vt:lpwstr>
  </property>
  <property fmtid="{D5CDD505-2E9C-101B-9397-08002B2CF9AE}" pid="4" name="MSIP_Label_36572169-9946-428c-9917-b56b5892176f_Method">
    <vt:lpwstr>Standard</vt:lpwstr>
  </property>
  <property fmtid="{D5CDD505-2E9C-101B-9397-08002B2CF9AE}" pid="5" name="MSIP_Label_36572169-9946-428c-9917-b56b5892176f_Name">
    <vt:lpwstr>Dado de uso interno</vt:lpwstr>
  </property>
  <property fmtid="{D5CDD505-2E9C-101B-9397-08002B2CF9AE}" pid="6" name="MSIP_Label_36572169-9946-428c-9917-b56b5892176f_SiteId">
    <vt:lpwstr>2b787135-ca3a-486c-bd0a-f6015fbf39b8</vt:lpwstr>
  </property>
  <property fmtid="{D5CDD505-2E9C-101B-9397-08002B2CF9AE}" pid="7" name="MSIP_Label_36572169-9946-428c-9917-b56b5892176f_ActionId">
    <vt:lpwstr>9ec24598-6310-4d6f-be63-703eb8a01666</vt:lpwstr>
  </property>
  <property fmtid="{D5CDD505-2E9C-101B-9397-08002B2CF9AE}" pid="8" name="MSIP_Label_36572169-9946-428c-9917-b56b5892176f_ContentBits">
    <vt:lpwstr>0</vt:lpwstr>
  </property>
</Properties>
</file>