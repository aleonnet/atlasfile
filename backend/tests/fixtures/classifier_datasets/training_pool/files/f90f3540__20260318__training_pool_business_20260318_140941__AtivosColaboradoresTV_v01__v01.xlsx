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Atividades\TVCO\BASE INFORMATICA - MARCOS\"/>
    </mc:Choice>
  </mc:AlternateContent>
  <xr:revisionPtr revIDLastSave="0" documentId="13_ncr:1_{229B9091-4BFF-4B0D-991E-4021621837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" sheetId="1" r:id="rId1"/>
    <sheet name="RESUMO" sheetId="2" r:id="rId2"/>
  </sheets>
  <definedNames>
    <definedName name="_xlnm._FilterDatabase" localSheetId="0" hidden="1">BASE!$A$1:$AF$37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7" i="1" l="1"/>
  <c r="AA37" i="1"/>
  <c r="Z37" i="1"/>
</calcChain>
</file>

<file path=xl/sharedStrings.xml><?xml version="1.0" encoding="utf-8"?>
<sst xmlns="http://schemas.openxmlformats.org/spreadsheetml/2006/main" count="858" uniqueCount="246">
  <si>
    <t>EtiquetaTI</t>
  </si>
  <si>
    <t>NumeroSerial</t>
  </si>
  <si>
    <t>Hostname</t>
  </si>
  <si>
    <t>Tipo</t>
  </si>
  <si>
    <t>Fabricante</t>
  </si>
  <si>
    <t>Familia</t>
  </si>
  <si>
    <t>Modelo</t>
  </si>
  <si>
    <t>BeneficiarioLogin</t>
  </si>
  <si>
    <t>BeneficiarioSituacao</t>
  </si>
  <si>
    <t>NumeroPedidoSAP</t>
  </si>
  <si>
    <t>ItemSAP</t>
  </si>
  <si>
    <t>IdSAPPM</t>
  </si>
  <si>
    <t>NumeroImobilizado</t>
  </si>
  <si>
    <t>PropriedadeOI</t>
  </si>
  <si>
    <t>BeneficiarioNomeCompleto</t>
  </si>
  <si>
    <t>StatusCicloVida</t>
  </si>
  <si>
    <t>StatusReason</t>
  </si>
  <si>
    <t>BeneficiarioEmail</t>
  </si>
  <si>
    <t>TipoEquipamento</t>
  </si>
  <si>
    <t>B8WWFM2</t>
  </si>
  <si>
    <t>LAPCORPMG100442</t>
  </si>
  <si>
    <t>LAPTOP</t>
  </si>
  <si>
    <t>Dell Inc.</t>
  </si>
  <si>
    <t>LATITUDE</t>
  </si>
  <si>
    <t>Latitude 5480</t>
  </si>
  <si>
    <t>OI175461</t>
  </si>
  <si>
    <t>Ativo</t>
  </si>
  <si>
    <t>NULL</t>
  </si>
  <si>
    <t>MICROINFORMATICA-OI</t>
  </si>
  <si>
    <t>CARLOS MAGNO MACHADO PEREIRA</t>
  </si>
  <si>
    <t>Implantado</t>
  </si>
  <si>
    <t>Em Uso</t>
  </si>
  <si>
    <t>carlos.pereira@oi.net.br</t>
  </si>
  <si>
    <t>Laptop</t>
  </si>
  <si>
    <t>2J589S1</t>
  </si>
  <si>
    <t>DSKCORPMG054698</t>
  </si>
  <si>
    <t>DESKTOP</t>
  </si>
  <si>
    <t>DELL COMPUTADORES DO BRASIL LTDA</t>
  </si>
  <si>
    <t>OPTIPLEX</t>
  </si>
  <si>
    <t>OPTIPLEX 990</t>
  </si>
  <si>
    <t>Desktop</t>
  </si>
  <si>
    <t>CNVWFV2</t>
  </si>
  <si>
    <t>LAPCORP102785</t>
  </si>
  <si>
    <t>Latitude 5490</t>
  </si>
  <si>
    <t>OI322476</t>
  </si>
  <si>
    <t>SALETE DO AMARAL PEREIRA DA SILVA</t>
  </si>
  <si>
    <t>salete.silva@oi.net.br</t>
  </si>
  <si>
    <t>2QSJSV1</t>
  </si>
  <si>
    <t>DSKCORPRJ116562</t>
  </si>
  <si>
    <t>OptiPlex 7010</t>
  </si>
  <si>
    <t>OI333892</t>
  </si>
  <si>
    <t>JORGE RICARDO DUARTE RIBAS</t>
  </si>
  <si>
    <t>jorge.ribas@oi.net.br</t>
  </si>
  <si>
    <t>FT1NSV1</t>
  </si>
  <si>
    <t>DSKCORPRJ070557</t>
  </si>
  <si>
    <t>OPTIPLEX 9010</t>
  </si>
  <si>
    <t>Em recolhimento</t>
  </si>
  <si>
    <t>DNNY8S1</t>
  </si>
  <si>
    <t>DSKCORPRJ087038</t>
  </si>
  <si>
    <t>OptiPlex 790</t>
  </si>
  <si>
    <t>Compra TEL</t>
  </si>
  <si>
    <t>5S6JSL2</t>
  </si>
  <si>
    <t>LAPCORP088465</t>
  </si>
  <si>
    <t>11TJSV1</t>
  </si>
  <si>
    <t>DSKCORPRJ063686</t>
  </si>
  <si>
    <t>OI333912</t>
  </si>
  <si>
    <t>SERGIO LUIZ DA SILVA</t>
  </si>
  <si>
    <t>sergio.luiz@oi.net.br</t>
  </si>
  <si>
    <t>GSX8VW2</t>
  </si>
  <si>
    <t>LAPCORPRJ109547</t>
  </si>
  <si>
    <t>OI333922</t>
  </si>
  <si>
    <t>FELIPE SANTOS DE PAIVA RIO</t>
  </si>
  <si>
    <t>Disponivel</t>
  </si>
  <si>
    <t>felipe.rio@oi.net.br</t>
  </si>
  <si>
    <t>2S2HSV1</t>
  </si>
  <si>
    <t>DSKCORPRJ070049</t>
  </si>
  <si>
    <t>OptiPlex 9010</t>
  </si>
  <si>
    <t>24WW8S1</t>
  </si>
  <si>
    <t>DSKCORPRJ071930</t>
  </si>
  <si>
    <t>OptiPlex 990</t>
  </si>
  <si>
    <t>OI336737</t>
  </si>
  <si>
    <t>Ferias</t>
  </si>
  <si>
    <t>WALLACE DE ALMEIDA BERNARDO</t>
  </si>
  <si>
    <t>wallace.bernardo@oi.net.br</t>
  </si>
  <si>
    <t>JDSS862</t>
  </si>
  <si>
    <t>LAPCORPRJ097578</t>
  </si>
  <si>
    <t>Latitude E5470</t>
  </si>
  <si>
    <t>GQY73N2</t>
  </si>
  <si>
    <t>DSKCORP107535</t>
  </si>
  <si>
    <t>OPTIPLEX 7050</t>
  </si>
  <si>
    <t>OI338040</t>
  </si>
  <si>
    <t>RODRIGO MACIEL CAMINI</t>
  </si>
  <si>
    <t>rodrigo.camini@oi.net.br</t>
  </si>
  <si>
    <t>5RQFSL2</t>
  </si>
  <si>
    <t>LAPCORP088258</t>
  </si>
  <si>
    <t>9WJNLG2</t>
  </si>
  <si>
    <t>LAPCORPRJ095674</t>
  </si>
  <si>
    <t>GXJ7VW2</t>
  </si>
  <si>
    <t>LAPCORP117605</t>
  </si>
  <si>
    <t>OI338850</t>
  </si>
  <si>
    <t>TIAGO MONTEIRO DOS SANTOS</t>
  </si>
  <si>
    <t>tiago.santos@oi.net.br</t>
  </si>
  <si>
    <t>F6C82V1</t>
  </si>
  <si>
    <t>DSKCORPRJ068446</t>
  </si>
  <si>
    <t>OI342574</t>
  </si>
  <si>
    <t>ALEX BASTOS COSENTINO</t>
  </si>
  <si>
    <t>alex.cosentino@oi.net.br</t>
  </si>
  <si>
    <t>2DC99S1</t>
  </si>
  <si>
    <t>DSKCORPRJ111172</t>
  </si>
  <si>
    <t>OI344891</t>
  </si>
  <si>
    <t>DANNY RENY HSIEH</t>
  </si>
  <si>
    <t>danny.hsieh@oi.net.br</t>
  </si>
  <si>
    <t>OIDESK0064973</t>
  </si>
  <si>
    <t>SEMP TOSHIBA</t>
  </si>
  <si>
    <t>TOSHIBA</t>
  </si>
  <si>
    <t>STI</t>
  </si>
  <si>
    <t>N/D</t>
  </si>
  <si>
    <t>2DDP8S1</t>
  </si>
  <si>
    <t>DSKCORPRJ088244</t>
  </si>
  <si>
    <t>7LV39T2</t>
  </si>
  <si>
    <t>LAPCORP105054</t>
  </si>
  <si>
    <t>OI367717</t>
  </si>
  <si>
    <t>JOAO VINICIUS VAZ DE ALMEIDA E SOUSA</t>
  </si>
  <si>
    <t>joaoalmeida@oi.net.br</t>
  </si>
  <si>
    <t>J4Y6VW2</t>
  </si>
  <si>
    <t>LAPCORP109421</t>
  </si>
  <si>
    <t>OI395855</t>
  </si>
  <si>
    <t>ROBERTO MARTINS LEITE RIBEIRO</t>
  </si>
  <si>
    <t>roberto.martins@oi.net.br</t>
  </si>
  <si>
    <t>CJG59T2</t>
  </si>
  <si>
    <t>LAPCORPRJ105104</t>
  </si>
  <si>
    <t>OI398541</t>
  </si>
  <si>
    <t>VICTOR HUGO RIBEIRO JOAQUIM</t>
  </si>
  <si>
    <t>victor.joaquim@oi.net.br</t>
  </si>
  <si>
    <t>9JXSFM2</t>
  </si>
  <si>
    <t>LAPCORPRJ100204</t>
  </si>
  <si>
    <t>OI405214</t>
  </si>
  <si>
    <t>CLEITON VELOSO SILVA</t>
  </si>
  <si>
    <t>cleiton.veloso@oi.net.br</t>
  </si>
  <si>
    <t>FC82VW2</t>
  </si>
  <si>
    <t>LAPCORPPI109578</t>
  </si>
  <si>
    <t>OI408589</t>
  </si>
  <si>
    <t>MARA LAYANNE ARAGAO PEREIRA COSTA</t>
  </si>
  <si>
    <t>mara.costa@oi.net.br</t>
  </si>
  <si>
    <t>4L3SGB3</t>
  </si>
  <si>
    <t>LAPCORP116108</t>
  </si>
  <si>
    <t>Latitude 5410</t>
  </si>
  <si>
    <t>OI410143</t>
  </si>
  <si>
    <t>CLAUDIO LEONARDO FERNANDES ALVES</t>
  </si>
  <si>
    <t>claudio.fernandes@oi.net.br</t>
  </si>
  <si>
    <t>BW49703</t>
  </si>
  <si>
    <t>LAPCORPRJ112497</t>
  </si>
  <si>
    <t>Latitude 5400</t>
  </si>
  <si>
    <t>OI417686</t>
  </si>
  <si>
    <t>FABIO ARANTES DE SOUZA</t>
  </si>
  <si>
    <t>fabio.arantes@oi.net.br</t>
  </si>
  <si>
    <t>9JKL5V2</t>
  </si>
  <si>
    <t>LAPCORPGO116823</t>
  </si>
  <si>
    <t>OI417717</t>
  </si>
  <si>
    <t>Inativo</t>
  </si>
  <si>
    <t>PABLO VINICIUS NASCIMENTO DE SOUZA</t>
  </si>
  <si>
    <t>pablo.souza@oi.net.br</t>
  </si>
  <si>
    <t>8PLXFM2</t>
  </si>
  <si>
    <t>DSKCORP106151</t>
  </si>
  <si>
    <t>OptiPlex 7050</t>
  </si>
  <si>
    <t>OI419011</t>
  </si>
  <si>
    <t>SERGIO DABKIEWICZ</t>
  </si>
  <si>
    <t>sergio.dabkiewicz@oi.net.br</t>
  </si>
  <si>
    <t>93613T2</t>
  </si>
  <si>
    <t>LAPCORPRJ107220</t>
  </si>
  <si>
    <t>2D5C9S1</t>
  </si>
  <si>
    <t>OIDESK0061383</t>
  </si>
  <si>
    <t>C7VZFV2</t>
  </si>
  <si>
    <t>LAPCORPRJ109640</t>
  </si>
  <si>
    <t>OI419022</t>
  </si>
  <si>
    <t>FLAVIA DA CONCEICAO COSTA</t>
  </si>
  <si>
    <t>flavia.costa@oi.net.br</t>
  </si>
  <si>
    <t>GY26VW2</t>
  </si>
  <si>
    <t>LAPCORPCE109701</t>
  </si>
  <si>
    <t>OI47251</t>
  </si>
  <si>
    <t>AUGUSTO CESAR MARQUES MARTINS</t>
  </si>
  <si>
    <t>augusto.martins@oi.net.br</t>
  </si>
  <si>
    <t>BVQ5703</t>
  </si>
  <si>
    <t>LAPCORPRJ112772</t>
  </si>
  <si>
    <t>OI55457</t>
  </si>
  <si>
    <t>MARIANA CAVALCANTI PAES COELHO</t>
  </si>
  <si>
    <t>mariana.coelho@oi.net.br</t>
  </si>
  <si>
    <t>CP7WFV2</t>
  </si>
  <si>
    <t>LAPCORPRJ102850</t>
  </si>
  <si>
    <t>OI90857</t>
  </si>
  <si>
    <t>ALEXANDRE NUNES DO NASCIMENTO</t>
  </si>
  <si>
    <t>alexandre.nunes@oi.net.br</t>
  </si>
  <si>
    <t>IMOBILIZADO</t>
  </si>
  <si>
    <t>SUB N</t>
  </si>
  <si>
    <t>CLASSE</t>
  </si>
  <si>
    <t>ZYINFOR</t>
  </si>
  <si>
    <t>IDPM DA MRED</t>
  </si>
  <si>
    <t>STATUS CONCILIAÇÃO</t>
  </si>
  <si>
    <t>EMPRESA</t>
  </si>
  <si>
    <t>BTSA</t>
  </si>
  <si>
    <t>Migração Ativos - Baixa SMPE x SPET</t>
  </si>
  <si>
    <t xml:space="preserve">ZYINFOR </t>
  </si>
  <si>
    <t>ITEM CONCILIADO</t>
  </si>
  <si>
    <t>CRIAR IDPM</t>
  </si>
  <si>
    <t>Depreciação ac.</t>
  </si>
  <si>
    <t xml:space="preserve"> Valor contábil</t>
  </si>
  <si>
    <t>ValAquis.</t>
  </si>
  <si>
    <t>Div</t>
  </si>
  <si>
    <t>Cen.</t>
  </si>
  <si>
    <t>Localiz.</t>
  </si>
  <si>
    <t>Rev</t>
  </si>
  <si>
    <t>DIRJ</t>
  </si>
  <si>
    <t>RJO_PA05</t>
  </si>
  <si>
    <t>NÃO</t>
  </si>
  <si>
    <t>RJO_TPSB</t>
  </si>
  <si>
    <t>DICE</t>
  </si>
  <si>
    <t>AAB_0562</t>
  </si>
  <si>
    <t>RJ00</t>
  </si>
  <si>
    <t>BIRJ</t>
  </si>
  <si>
    <t>RJO_ARC</t>
  </si>
  <si>
    <t>TLRJ</t>
  </si>
  <si>
    <t>TLGO</t>
  </si>
  <si>
    <t>GNA_CTO</t>
  </si>
  <si>
    <t>RJO_IPA</t>
  </si>
  <si>
    <t>RJO_ALV</t>
  </si>
  <si>
    <t>SIM</t>
  </si>
  <si>
    <t>MZ00</t>
  </si>
  <si>
    <t>RJO_EDSE</t>
  </si>
  <si>
    <t>MG00</t>
  </si>
  <si>
    <t>BIMG</t>
  </si>
  <si>
    <t>BHE_SAN</t>
  </si>
  <si>
    <t>RJO_END</t>
  </si>
  <si>
    <t>BHE_MPI</t>
  </si>
  <si>
    <t>PI00</t>
  </si>
  <si>
    <t>BIPI</t>
  </si>
  <si>
    <t>TSA_CTOP</t>
  </si>
  <si>
    <t>0029</t>
  </si>
  <si>
    <t>0014</t>
  </si>
  <si>
    <t>0033</t>
  </si>
  <si>
    <t>0048</t>
  </si>
  <si>
    <t>0072</t>
  </si>
  <si>
    <t>CRIAR IDPM - IDPM INFORMADO ESTÁ NA MRED</t>
  </si>
  <si>
    <t>Rótulos de Linha</t>
  </si>
  <si>
    <t>Total Geral</t>
  </si>
  <si>
    <t>QTD ITENS</t>
  </si>
  <si>
    <t>Valor contábil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</si>
</sst>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4" applyNumberFormat="0" applyAlignment="0" applyProtection="0"/>
    <xf numFmtId="0" fontId="10" fillId="8" borderId="5" applyNumberFormat="0" applyAlignment="0" applyProtection="0"/>
    <xf numFmtId="0" fontId="11" fillId="8" borderId="4" applyNumberFormat="0" applyAlignment="0" applyProtection="0"/>
    <xf numFmtId="0" fontId="12" fillId="0" borderId="6" applyNumberFormat="0" applyFill="0" applyAlignment="0" applyProtection="0"/>
    <xf numFmtId="0" fontId="13" fillId="9" borderId="7" applyNumberFormat="0" applyAlignment="0" applyProtection="0"/>
    <xf numFmtId="0" fontId="14" fillId="0" borderId="0" applyNumberFormat="0" applyFill="0" applyBorder="0" applyAlignment="0" applyProtection="0"/>
    <xf numFmtId="0" fontId="1" fillId="10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1" fontId="0" fillId="0" borderId="0" xfId="1" applyNumberFormat="1" applyFont="1"/>
    <xf numFmtId="0" fontId="0" fillId="35" borderId="0" xfId="0" applyFill="1"/>
    <xf numFmtId="1" fontId="0" fillId="35" borderId="0" xfId="0" applyNumberFormat="1" applyFill="1"/>
    <xf numFmtId="1" fontId="0" fillId="0" borderId="0" xfId="0" applyNumberFormat="1"/>
    <xf numFmtId="0" fontId="0" fillId="36" borderId="0" xfId="0" applyFill="1"/>
    <xf numFmtId="43" fontId="0" fillId="0" borderId="0" xfId="1" applyFont="1"/>
    <xf numFmtId="0" fontId="0" fillId="0" borderId="0" xfId="0" quotePrefix="1"/>
    <xf numFmtId="0" fontId="0" fillId="37" borderId="0" xfId="0" applyFill="1"/>
    <xf numFmtId="43" fontId="16" fillId="0" borderId="0" xfId="1" applyFont="1"/>
    <xf numFmtId="0" fontId="16" fillId="38" borderId="0" xfId="0" applyFont="1" applyFill="1"/>
    <xf numFmtId="43" fontId="16" fillId="38" borderId="0" xfId="1" applyFont="1" applyFill="1"/>
    <xf numFmtId="165" fontId="16" fillId="38" borderId="0" xfId="1" applyNumberFormat="1" applyFont="1" applyFill="1"/>
    <xf numFmtId="165" fontId="0" fillId="0" borderId="0" xfId="1" applyNumberFormat="1" applyFont="1"/>
    <xf numFmtId="0" fontId="0" fillId="39" borderId="0" xfId="0" applyFill="1"/>
    <xf numFmtId="165" fontId="0" fillId="39" borderId="0" xfId="1" applyNumberFormat="1" applyFont="1" applyFill="1"/>
    <xf numFmtId="43" fontId="0" fillId="39" borderId="0" xfId="1" applyFont="1" applyFill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showGridLines="0" tabSelected="1" topLeftCell="L1" zoomScale="90" zoomScaleNormal="90" workbookViewId="0">
      <pane ySplit="1" topLeftCell="A2" activePane="bottomLeft" state="frozen"/>
      <selection pane="bottomLeft" activeCell="L16" sqref="L16"/>
    </sheetView>
  </sheetViews>
  <sheetFormatPr defaultColWidth="11.42578125" defaultRowHeight="15" x14ac:dyDescent="0.25"/>
  <cols>
    <col min="1" max="1" width="9.28515625" bestFit="1" customWidth="1"/>
    <col min="2" max="2" width="12.140625" bestFit="1" customWidth="1"/>
    <col min="3" max="3" width="17.7109375" bestFit="1" customWidth="1"/>
    <col min="4" max="4" width="8.42578125" bestFit="1" customWidth="1"/>
    <col min="5" max="5" width="12.140625" customWidth="1"/>
    <col min="6" max="6" width="8.85546875" bestFit="1" customWidth="1"/>
    <col min="7" max="7" width="13.140625" bestFit="1" customWidth="1"/>
    <col min="8" max="8" width="15.140625" bestFit="1" customWidth="1"/>
    <col min="9" max="9" width="17.85546875" bestFit="1" customWidth="1"/>
    <col min="10" max="10" width="16.5703125" bestFit="1" customWidth="1"/>
    <col min="11" max="11" width="7.7109375" bestFit="1" customWidth="1"/>
    <col min="12" max="12" width="12.140625" bestFit="1" customWidth="1"/>
    <col min="13" max="13" width="21.28515625" bestFit="1" customWidth="1"/>
    <col min="14" max="14" width="11.42578125" customWidth="1"/>
    <col min="15" max="15" width="13.85546875" customWidth="1"/>
    <col min="16" max="16" width="10.42578125" customWidth="1"/>
    <col min="17" max="17" width="15.140625" bestFit="1" customWidth="1"/>
    <col min="18" max="18" width="25.140625" hidden="1" customWidth="1"/>
    <col min="19" max="19" width="10.5703125" customWidth="1"/>
    <col min="20" max="20" width="15.5703125" style="6" customWidth="1"/>
    <col min="21" max="21" width="9" customWidth="1"/>
    <col min="22" max="22" width="9.85546875" customWidth="1"/>
    <col min="23" max="23" width="8.42578125" customWidth="1"/>
    <col min="24" max="24" width="28.85546875" customWidth="1"/>
    <col min="25" max="25" width="33.85546875" hidden="1" customWidth="1"/>
    <col min="26" max="26" width="13.85546875" style="8" bestFit="1" customWidth="1"/>
    <col min="27" max="27" width="16.5703125" style="8" bestFit="1" customWidth="1"/>
    <col min="28" max="28" width="15.7109375" style="8" bestFit="1" customWidth="1"/>
    <col min="33" max="35" width="12.425781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0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192</v>
      </c>
      <c r="U1" s="4" t="s">
        <v>193</v>
      </c>
      <c r="V1" s="4" t="s">
        <v>194</v>
      </c>
      <c r="W1" s="4" t="s">
        <v>198</v>
      </c>
      <c r="X1" s="7" t="s">
        <v>197</v>
      </c>
      <c r="Y1" s="7" t="s">
        <v>197</v>
      </c>
      <c r="Z1" s="4" t="s">
        <v>206</v>
      </c>
      <c r="AA1" s="4" t="s">
        <v>204</v>
      </c>
      <c r="AB1" s="4" t="s">
        <v>205</v>
      </c>
      <c r="AC1" s="4" t="s">
        <v>207</v>
      </c>
      <c r="AD1" s="4" t="s">
        <v>208</v>
      </c>
      <c r="AE1" s="4" t="s">
        <v>209</v>
      </c>
      <c r="AF1" s="4" t="s">
        <v>210</v>
      </c>
    </row>
    <row r="2" spans="1:32" x14ac:dyDescent="0.25">
      <c r="A2">
        <v>102785</v>
      </c>
      <c r="B2" t="s">
        <v>41</v>
      </c>
      <c r="C2" t="s">
        <v>42</v>
      </c>
      <c r="D2" t="s">
        <v>21</v>
      </c>
      <c r="E2" t="s">
        <v>22</v>
      </c>
      <c r="F2" t="s">
        <v>23</v>
      </c>
      <c r="G2" t="s">
        <v>43</v>
      </c>
      <c r="H2" t="s">
        <v>44</v>
      </c>
      <c r="I2" t="s">
        <v>26</v>
      </c>
      <c r="J2">
        <v>4507176452</v>
      </c>
      <c r="K2">
        <v>3</v>
      </c>
      <c r="L2" s="10" t="s">
        <v>27</v>
      </c>
      <c r="M2" s="3" t="s">
        <v>27</v>
      </c>
      <c r="N2" t="s">
        <v>28</v>
      </c>
      <c r="O2" t="s">
        <v>45</v>
      </c>
      <c r="P2" t="s">
        <v>30</v>
      </c>
      <c r="Q2" t="s">
        <v>31</v>
      </c>
      <c r="R2" t="s">
        <v>46</v>
      </c>
      <c r="S2" t="s">
        <v>33</v>
      </c>
      <c r="T2" s="6">
        <v>410000193692</v>
      </c>
      <c r="U2">
        <v>0</v>
      </c>
      <c r="V2" t="s">
        <v>195</v>
      </c>
      <c r="W2" t="s">
        <v>199</v>
      </c>
      <c r="X2" t="s">
        <v>203</v>
      </c>
      <c r="Y2" t="s">
        <v>203</v>
      </c>
      <c r="Z2" s="8">
        <v>8377.6200000000008</v>
      </c>
      <c r="AA2" s="8">
        <v>-4956.75</v>
      </c>
      <c r="AB2" s="8">
        <v>3420.87</v>
      </c>
      <c r="AC2" s="9" t="s">
        <v>240</v>
      </c>
      <c r="AD2" t="s">
        <v>211</v>
      </c>
      <c r="AE2" t="s">
        <v>212</v>
      </c>
      <c r="AF2" t="s">
        <v>213</v>
      </c>
    </row>
    <row r="3" spans="1:32" x14ac:dyDescent="0.25">
      <c r="A3">
        <v>109547</v>
      </c>
      <c r="B3" t="s">
        <v>68</v>
      </c>
      <c r="C3" t="s">
        <v>69</v>
      </c>
      <c r="D3" t="s">
        <v>21</v>
      </c>
      <c r="E3" t="s">
        <v>22</v>
      </c>
      <c r="F3" t="s">
        <v>23</v>
      </c>
      <c r="G3" t="s">
        <v>43</v>
      </c>
      <c r="H3" t="s">
        <v>70</v>
      </c>
      <c r="I3" t="s">
        <v>26</v>
      </c>
      <c r="J3">
        <v>4507306659</v>
      </c>
      <c r="K3">
        <v>4</v>
      </c>
      <c r="L3" s="10" t="s">
        <v>27</v>
      </c>
      <c r="M3" s="3" t="s">
        <v>27</v>
      </c>
      <c r="N3" t="s">
        <v>28</v>
      </c>
      <c r="O3" t="s">
        <v>71</v>
      </c>
      <c r="P3" t="s">
        <v>30</v>
      </c>
      <c r="Q3" t="s">
        <v>72</v>
      </c>
      <c r="R3" t="s">
        <v>73</v>
      </c>
      <c r="S3" t="s">
        <v>33</v>
      </c>
      <c r="T3" s="6">
        <v>410000193780</v>
      </c>
      <c r="U3">
        <v>0</v>
      </c>
      <c r="V3" t="s">
        <v>195</v>
      </c>
      <c r="W3" t="s">
        <v>199</v>
      </c>
      <c r="X3" t="s">
        <v>203</v>
      </c>
      <c r="Y3" t="s">
        <v>203</v>
      </c>
      <c r="Z3" s="8">
        <v>8570.06</v>
      </c>
      <c r="AA3" s="8">
        <v>-5570.56</v>
      </c>
      <c r="AB3" s="8">
        <v>2999.5</v>
      </c>
      <c r="AC3" s="9" t="s">
        <v>240</v>
      </c>
      <c r="AD3" t="s">
        <v>211</v>
      </c>
      <c r="AE3" t="s">
        <v>214</v>
      </c>
      <c r="AF3" t="s">
        <v>213</v>
      </c>
    </row>
    <row r="4" spans="1:32" x14ac:dyDescent="0.25">
      <c r="A4">
        <v>117605</v>
      </c>
      <c r="B4" t="s">
        <v>97</v>
      </c>
      <c r="C4" t="s">
        <v>98</v>
      </c>
      <c r="D4" t="s">
        <v>21</v>
      </c>
      <c r="E4" t="s">
        <v>22</v>
      </c>
      <c r="F4" t="s">
        <v>23</v>
      </c>
      <c r="G4" t="s">
        <v>43</v>
      </c>
      <c r="H4" t="s">
        <v>99</v>
      </c>
      <c r="I4" t="s">
        <v>26</v>
      </c>
      <c r="J4">
        <v>4507306659</v>
      </c>
      <c r="K4">
        <v>4</v>
      </c>
      <c r="L4" s="10" t="s">
        <v>27</v>
      </c>
      <c r="M4" s="3" t="s">
        <v>27</v>
      </c>
      <c r="N4" t="s">
        <v>28</v>
      </c>
      <c r="O4" t="s">
        <v>100</v>
      </c>
      <c r="P4" t="s">
        <v>30</v>
      </c>
      <c r="Q4" t="s">
        <v>31</v>
      </c>
      <c r="R4" t="s">
        <v>101</v>
      </c>
      <c r="S4" t="s">
        <v>33</v>
      </c>
      <c r="T4" s="6">
        <v>410000193869</v>
      </c>
      <c r="U4">
        <v>0</v>
      </c>
      <c r="V4" t="s">
        <v>195</v>
      </c>
      <c r="W4" t="s">
        <v>199</v>
      </c>
      <c r="X4" t="s">
        <v>203</v>
      </c>
      <c r="Y4" t="s">
        <v>203</v>
      </c>
      <c r="Z4" s="8">
        <v>8680.18</v>
      </c>
      <c r="AA4" s="8">
        <v>-4918.7700000000004</v>
      </c>
      <c r="AB4" s="8">
        <v>3761.41</v>
      </c>
      <c r="AC4" s="9" t="s">
        <v>240</v>
      </c>
      <c r="AD4" t="s">
        <v>211</v>
      </c>
      <c r="AE4" t="s">
        <v>212</v>
      </c>
      <c r="AF4" t="s">
        <v>213</v>
      </c>
    </row>
    <row r="5" spans="1:32" x14ac:dyDescent="0.25">
      <c r="A5">
        <v>105054</v>
      </c>
      <c r="B5" t="s">
        <v>119</v>
      </c>
      <c r="C5" t="s">
        <v>120</v>
      </c>
      <c r="D5" t="s">
        <v>21</v>
      </c>
      <c r="E5" t="s">
        <v>22</v>
      </c>
      <c r="F5" t="s">
        <v>23</v>
      </c>
      <c r="G5" t="s">
        <v>24</v>
      </c>
      <c r="H5" t="s">
        <v>121</v>
      </c>
      <c r="I5" t="s">
        <v>26</v>
      </c>
      <c r="J5">
        <v>4507110791</v>
      </c>
      <c r="K5">
        <v>1</v>
      </c>
      <c r="L5" s="10" t="s">
        <v>27</v>
      </c>
      <c r="M5" s="3" t="s">
        <v>27</v>
      </c>
      <c r="N5" t="s">
        <v>28</v>
      </c>
      <c r="O5" t="s">
        <v>122</v>
      </c>
      <c r="P5" t="s">
        <v>30</v>
      </c>
      <c r="Q5" t="s">
        <v>31</v>
      </c>
      <c r="R5" t="s">
        <v>123</v>
      </c>
      <c r="S5" t="s">
        <v>33</v>
      </c>
      <c r="T5" s="6">
        <v>410000193776</v>
      </c>
      <c r="U5">
        <v>0</v>
      </c>
      <c r="V5" t="s">
        <v>201</v>
      </c>
      <c r="W5" t="s">
        <v>199</v>
      </c>
      <c r="X5" t="s">
        <v>203</v>
      </c>
      <c r="Y5" t="s">
        <v>203</v>
      </c>
      <c r="Z5" s="8">
        <v>54287.43</v>
      </c>
      <c r="AA5" s="8">
        <v>-31667.67</v>
      </c>
      <c r="AB5" s="8">
        <v>22619.759999999998</v>
      </c>
      <c r="AC5" s="9" t="s">
        <v>240</v>
      </c>
      <c r="AD5" t="s">
        <v>211</v>
      </c>
      <c r="AE5" t="s">
        <v>214</v>
      </c>
      <c r="AF5" t="s">
        <v>213</v>
      </c>
    </row>
    <row r="6" spans="1:32" x14ac:dyDescent="0.25">
      <c r="A6">
        <v>109421</v>
      </c>
      <c r="B6" t="s">
        <v>124</v>
      </c>
      <c r="C6" t="s">
        <v>125</v>
      </c>
      <c r="D6" t="s">
        <v>21</v>
      </c>
      <c r="E6" t="s">
        <v>22</v>
      </c>
      <c r="F6" t="s">
        <v>23</v>
      </c>
      <c r="G6" t="s">
        <v>43</v>
      </c>
      <c r="H6" t="s">
        <v>126</v>
      </c>
      <c r="I6" t="s">
        <v>26</v>
      </c>
      <c r="J6">
        <v>4507306659</v>
      </c>
      <c r="K6">
        <v>4</v>
      </c>
      <c r="L6" s="10" t="s">
        <v>27</v>
      </c>
      <c r="M6" s="3" t="s">
        <v>27</v>
      </c>
      <c r="N6" t="s">
        <v>28</v>
      </c>
      <c r="O6" t="s">
        <v>127</v>
      </c>
      <c r="P6" t="s">
        <v>30</v>
      </c>
      <c r="Q6" t="s">
        <v>31</v>
      </c>
      <c r="R6" t="s">
        <v>128</v>
      </c>
      <c r="S6" t="s">
        <v>33</v>
      </c>
      <c r="T6" s="6">
        <v>410000193870</v>
      </c>
      <c r="U6">
        <v>0</v>
      </c>
      <c r="V6" t="s">
        <v>195</v>
      </c>
      <c r="W6" t="s">
        <v>199</v>
      </c>
      <c r="X6" t="s">
        <v>203</v>
      </c>
      <c r="Y6" t="s">
        <v>203</v>
      </c>
      <c r="Z6" s="8">
        <v>8680.18</v>
      </c>
      <c r="AA6" s="8">
        <v>-4918.7700000000004</v>
      </c>
      <c r="AB6" s="8">
        <v>3761.41</v>
      </c>
      <c r="AC6" s="9" t="s">
        <v>240</v>
      </c>
      <c r="AD6" t="s">
        <v>211</v>
      </c>
      <c r="AE6" t="s">
        <v>212</v>
      </c>
      <c r="AF6" t="s">
        <v>213</v>
      </c>
    </row>
    <row r="7" spans="1:32" x14ac:dyDescent="0.25">
      <c r="A7">
        <v>109640</v>
      </c>
      <c r="B7" t="s">
        <v>172</v>
      </c>
      <c r="C7" t="s">
        <v>173</v>
      </c>
      <c r="D7" t="s">
        <v>21</v>
      </c>
      <c r="E7" t="s">
        <v>22</v>
      </c>
      <c r="F7" t="s">
        <v>23</v>
      </c>
      <c r="G7" t="s">
        <v>43</v>
      </c>
      <c r="H7" t="s">
        <v>174</v>
      </c>
      <c r="I7" t="s">
        <v>26</v>
      </c>
      <c r="J7">
        <v>4507176452</v>
      </c>
      <c r="K7">
        <v>3</v>
      </c>
      <c r="L7" s="10" t="s">
        <v>27</v>
      </c>
      <c r="M7" s="3" t="s">
        <v>27</v>
      </c>
      <c r="N7" t="s">
        <v>28</v>
      </c>
      <c r="O7" t="s">
        <v>175</v>
      </c>
      <c r="P7" t="s">
        <v>30</v>
      </c>
      <c r="Q7" t="s">
        <v>31</v>
      </c>
      <c r="R7" t="s">
        <v>176</v>
      </c>
      <c r="S7" t="s">
        <v>33</v>
      </c>
      <c r="T7" s="6">
        <v>410000193943</v>
      </c>
      <c r="U7">
        <v>0</v>
      </c>
      <c r="V7" t="s">
        <v>195</v>
      </c>
      <c r="W7" t="s">
        <v>199</v>
      </c>
      <c r="X7" t="s">
        <v>203</v>
      </c>
      <c r="Y7" t="s">
        <v>203</v>
      </c>
      <c r="Z7" s="8">
        <v>8865.35</v>
      </c>
      <c r="AA7" s="8">
        <v>-4875.97</v>
      </c>
      <c r="AB7" s="8">
        <v>3989.38</v>
      </c>
      <c r="AC7" s="9" t="s">
        <v>240</v>
      </c>
      <c r="AD7" t="s">
        <v>211</v>
      </c>
      <c r="AE7" t="s">
        <v>214</v>
      </c>
      <c r="AF7" t="s">
        <v>213</v>
      </c>
    </row>
    <row r="8" spans="1:32" x14ac:dyDescent="0.25">
      <c r="A8">
        <v>109701</v>
      </c>
      <c r="B8" t="s">
        <v>177</v>
      </c>
      <c r="C8" t="s">
        <v>178</v>
      </c>
      <c r="D8" t="s">
        <v>21</v>
      </c>
      <c r="E8" t="s">
        <v>22</v>
      </c>
      <c r="F8" t="s">
        <v>23</v>
      </c>
      <c r="G8" t="s">
        <v>43</v>
      </c>
      <c r="H8" t="s">
        <v>179</v>
      </c>
      <c r="I8" t="s">
        <v>26</v>
      </c>
      <c r="J8">
        <v>4507306659</v>
      </c>
      <c r="K8">
        <v>4</v>
      </c>
      <c r="L8" s="10" t="s">
        <v>27</v>
      </c>
      <c r="M8" s="3" t="s">
        <v>27</v>
      </c>
      <c r="N8" t="s">
        <v>28</v>
      </c>
      <c r="O8" t="s">
        <v>180</v>
      </c>
      <c r="P8" t="s">
        <v>30</v>
      </c>
      <c r="Q8" t="s">
        <v>31</v>
      </c>
      <c r="R8" t="s">
        <v>181</v>
      </c>
      <c r="S8" t="s">
        <v>33</v>
      </c>
      <c r="T8" s="6">
        <v>410000193400</v>
      </c>
      <c r="U8">
        <v>0</v>
      </c>
      <c r="V8" t="s">
        <v>195</v>
      </c>
      <c r="W8" t="s">
        <v>199</v>
      </c>
      <c r="X8" t="s">
        <v>203</v>
      </c>
      <c r="Y8" t="s">
        <v>203</v>
      </c>
      <c r="Z8" s="8">
        <v>10355.09</v>
      </c>
      <c r="AA8" s="8">
        <v>-6558.24</v>
      </c>
      <c r="AB8" s="8">
        <v>3796.85</v>
      </c>
      <c r="AC8" s="9" t="s">
        <v>239</v>
      </c>
      <c r="AD8" t="s">
        <v>215</v>
      </c>
      <c r="AE8" t="s">
        <v>216</v>
      </c>
      <c r="AF8" t="s">
        <v>213</v>
      </c>
    </row>
    <row r="9" spans="1:32" x14ac:dyDescent="0.25">
      <c r="A9">
        <v>102850</v>
      </c>
      <c r="B9" t="s">
        <v>187</v>
      </c>
      <c r="C9" t="s">
        <v>188</v>
      </c>
      <c r="D9" t="s">
        <v>21</v>
      </c>
      <c r="E9" t="s">
        <v>22</v>
      </c>
      <c r="F9" t="s">
        <v>23</v>
      </c>
      <c r="G9" t="s">
        <v>43</v>
      </c>
      <c r="H9" t="s">
        <v>189</v>
      </c>
      <c r="I9" t="s">
        <v>26</v>
      </c>
      <c r="J9">
        <v>4507176452</v>
      </c>
      <c r="K9">
        <v>3</v>
      </c>
      <c r="L9" s="10" t="s">
        <v>27</v>
      </c>
      <c r="M9" s="3" t="s">
        <v>27</v>
      </c>
      <c r="N9" t="s">
        <v>28</v>
      </c>
      <c r="O9" t="s">
        <v>190</v>
      </c>
      <c r="P9" t="s">
        <v>30</v>
      </c>
      <c r="Q9" t="s">
        <v>31</v>
      </c>
      <c r="R9" t="s">
        <v>191</v>
      </c>
      <c r="S9" t="s">
        <v>33</v>
      </c>
      <c r="T9" s="6">
        <v>410000193782</v>
      </c>
      <c r="U9">
        <v>0</v>
      </c>
      <c r="V9" t="s">
        <v>195</v>
      </c>
      <c r="W9" t="s">
        <v>199</v>
      </c>
      <c r="X9" t="s">
        <v>203</v>
      </c>
      <c r="Y9" t="s">
        <v>203</v>
      </c>
      <c r="Z9" s="8">
        <v>9614.16</v>
      </c>
      <c r="AA9" s="8">
        <v>-5608.28</v>
      </c>
      <c r="AB9" s="8">
        <v>4005.88</v>
      </c>
      <c r="AC9" s="9" t="s">
        <v>240</v>
      </c>
      <c r="AD9" t="s">
        <v>211</v>
      </c>
      <c r="AE9" t="s">
        <v>214</v>
      </c>
      <c r="AF9" t="s">
        <v>213</v>
      </c>
    </row>
    <row r="10" spans="1:32" x14ac:dyDescent="0.25">
      <c r="A10">
        <v>107535</v>
      </c>
      <c r="B10" t="s">
        <v>87</v>
      </c>
      <c r="C10" t="s">
        <v>88</v>
      </c>
      <c r="D10" t="s">
        <v>36</v>
      </c>
      <c r="E10" t="s">
        <v>37</v>
      </c>
      <c r="F10" t="s">
        <v>38</v>
      </c>
      <c r="G10" t="s">
        <v>89</v>
      </c>
      <c r="H10" t="s">
        <v>90</v>
      </c>
      <c r="I10" t="s">
        <v>26</v>
      </c>
      <c r="J10">
        <v>4506596809</v>
      </c>
      <c r="K10">
        <v>2</v>
      </c>
      <c r="L10" s="10">
        <v>6050007083</v>
      </c>
      <c r="M10" s="3" t="s">
        <v>27</v>
      </c>
      <c r="N10" t="s">
        <v>28</v>
      </c>
      <c r="O10" t="s">
        <v>91</v>
      </c>
      <c r="P10" t="s">
        <v>30</v>
      </c>
      <c r="Q10" t="s">
        <v>31</v>
      </c>
      <c r="R10" t="s">
        <v>92</v>
      </c>
      <c r="S10" t="s">
        <v>40</v>
      </c>
      <c r="T10" s="6">
        <v>410000193655</v>
      </c>
      <c r="U10">
        <v>0</v>
      </c>
      <c r="V10" t="s">
        <v>195</v>
      </c>
      <c r="W10" t="s">
        <v>199</v>
      </c>
      <c r="X10" t="s">
        <v>241</v>
      </c>
      <c r="Y10" t="s">
        <v>196</v>
      </c>
      <c r="Z10" s="8">
        <v>9680</v>
      </c>
      <c r="AA10" s="8">
        <v>-5808</v>
      </c>
      <c r="AB10" s="8">
        <v>3872</v>
      </c>
      <c r="AC10" s="9" t="s">
        <v>240</v>
      </c>
      <c r="AD10" t="s">
        <v>211</v>
      </c>
      <c r="AE10" t="s">
        <v>212</v>
      </c>
      <c r="AF10" t="s">
        <v>213</v>
      </c>
    </row>
    <row r="11" spans="1:32" x14ac:dyDescent="0.25">
      <c r="A11">
        <v>112497</v>
      </c>
      <c r="B11" t="s">
        <v>150</v>
      </c>
      <c r="C11" t="s">
        <v>151</v>
      </c>
      <c r="D11" t="s">
        <v>21</v>
      </c>
      <c r="E11" t="s">
        <v>22</v>
      </c>
      <c r="F11" t="s">
        <v>23</v>
      </c>
      <c r="G11" t="s">
        <v>152</v>
      </c>
      <c r="H11" t="s">
        <v>153</v>
      </c>
      <c r="I11" t="s">
        <v>26</v>
      </c>
      <c r="J11">
        <v>4507456279</v>
      </c>
      <c r="K11">
        <v>1</v>
      </c>
      <c r="L11" s="10" t="s">
        <v>27</v>
      </c>
      <c r="M11" s="3">
        <v>410000231635</v>
      </c>
      <c r="N11" t="s">
        <v>28</v>
      </c>
      <c r="O11" t="s">
        <v>154</v>
      </c>
      <c r="P11" t="s">
        <v>30</v>
      </c>
      <c r="Q11" t="s">
        <v>31</v>
      </c>
      <c r="R11" t="s">
        <v>155</v>
      </c>
      <c r="S11" t="s">
        <v>33</v>
      </c>
      <c r="T11" s="6">
        <v>410000106315</v>
      </c>
      <c r="U11">
        <v>0</v>
      </c>
      <c r="V11" t="s">
        <v>195</v>
      </c>
      <c r="W11" t="s">
        <v>199</v>
      </c>
      <c r="X11" t="s">
        <v>203</v>
      </c>
      <c r="Y11" t="s">
        <v>200</v>
      </c>
      <c r="Z11" s="8">
        <v>10126.57</v>
      </c>
      <c r="AA11" s="8">
        <v>-6657.27</v>
      </c>
      <c r="AB11" s="8">
        <v>3469.3</v>
      </c>
      <c r="AC11" t="s">
        <v>217</v>
      </c>
      <c r="AD11" t="s">
        <v>218</v>
      </c>
      <c r="AE11" t="s">
        <v>219</v>
      </c>
      <c r="AF11" t="s">
        <v>213</v>
      </c>
    </row>
    <row r="12" spans="1:32" x14ac:dyDescent="0.25">
      <c r="A12">
        <v>112772</v>
      </c>
      <c r="B12" t="s">
        <v>182</v>
      </c>
      <c r="C12" t="s">
        <v>183</v>
      </c>
      <c r="D12" t="s">
        <v>21</v>
      </c>
      <c r="E12" t="s">
        <v>22</v>
      </c>
      <c r="F12" t="s">
        <v>23</v>
      </c>
      <c r="G12" t="s">
        <v>152</v>
      </c>
      <c r="H12" t="s">
        <v>184</v>
      </c>
      <c r="I12" t="s">
        <v>26</v>
      </c>
      <c r="J12">
        <v>4507456279</v>
      </c>
      <c r="K12">
        <v>1</v>
      </c>
      <c r="L12" s="10" t="s">
        <v>27</v>
      </c>
      <c r="M12" s="3" t="s">
        <v>27</v>
      </c>
      <c r="N12" t="s">
        <v>28</v>
      </c>
      <c r="O12" t="s">
        <v>185</v>
      </c>
      <c r="P12" t="s">
        <v>30</v>
      </c>
      <c r="Q12" t="s">
        <v>31</v>
      </c>
      <c r="R12" t="s">
        <v>186</v>
      </c>
      <c r="S12" t="s">
        <v>33</v>
      </c>
      <c r="T12" s="6">
        <v>410000106591</v>
      </c>
      <c r="U12">
        <v>0</v>
      </c>
      <c r="V12" t="s">
        <v>195</v>
      </c>
      <c r="W12" t="s">
        <v>199</v>
      </c>
      <c r="X12" t="s">
        <v>203</v>
      </c>
      <c r="Y12" t="s">
        <v>200</v>
      </c>
      <c r="Z12" s="8">
        <v>10126.57</v>
      </c>
      <c r="AA12" s="8">
        <v>-6657.27</v>
      </c>
      <c r="AB12" s="8">
        <v>3469.3</v>
      </c>
      <c r="AC12" t="s">
        <v>217</v>
      </c>
      <c r="AD12" t="s">
        <v>218</v>
      </c>
      <c r="AE12" t="s">
        <v>219</v>
      </c>
      <c r="AF12" t="s">
        <v>213</v>
      </c>
    </row>
    <row r="13" spans="1:32" x14ac:dyDescent="0.25">
      <c r="A13">
        <v>116562</v>
      </c>
      <c r="B13" t="s">
        <v>47</v>
      </c>
      <c r="C13" t="s">
        <v>48</v>
      </c>
      <c r="D13" t="s">
        <v>36</v>
      </c>
      <c r="E13" t="s">
        <v>22</v>
      </c>
      <c r="F13" t="s">
        <v>38</v>
      </c>
      <c r="G13" t="s">
        <v>49</v>
      </c>
      <c r="H13" t="s">
        <v>50</v>
      </c>
      <c r="I13" t="s">
        <v>26</v>
      </c>
      <c r="J13" t="s">
        <v>27</v>
      </c>
      <c r="K13" t="s">
        <v>27</v>
      </c>
      <c r="L13" s="10" t="s">
        <v>27</v>
      </c>
      <c r="M13" s="3" t="s">
        <v>27</v>
      </c>
      <c r="N13" t="s">
        <v>28</v>
      </c>
      <c r="O13" t="s">
        <v>51</v>
      </c>
      <c r="P13" t="s">
        <v>30</v>
      </c>
      <c r="Q13" t="s">
        <v>31</v>
      </c>
      <c r="R13" t="s">
        <v>52</v>
      </c>
      <c r="S13" t="s">
        <v>40</v>
      </c>
      <c r="T13" s="6">
        <v>410000262955</v>
      </c>
      <c r="U13">
        <v>0</v>
      </c>
      <c r="V13" t="s">
        <v>195</v>
      </c>
      <c r="W13" t="s">
        <v>199</v>
      </c>
      <c r="X13" t="s">
        <v>203</v>
      </c>
      <c r="Z13" s="8">
        <v>13058.84</v>
      </c>
      <c r="AA13" s="8">
        <v>-7206.55</v>
      </c>
      <c r="AB13" s="8">
        <v>5852.29</v>
      </c>
      <c r="AC13" s="9" t="s">
        <v>240</v>
      </c>
      <c r="AD13" t="s">
        <v>220</v>
      </c>
      <c r="AE13" t="s">
        <v>214</v>
      </c>
      <c r="AF13" t="s">
        <v>213</v>
      </c>
    </row>
    <row r="14" spans="1:32" x14ac:dyDescent="0.25">
      <c r="A14">
        <v>63686</v>
      </c>
      <c r="B14" t="s">
        <v>63</v>
      </c>
      <c r="C14" t="s">
        <v>64</v>
      </c>
      <c r="D14" t="s">
        <v>36</v>
      </c>
      <c r="E14" t="s">
        <v>22</v>
      </c>
      <c r="F14" t="s">
        <v>38</v>
      </c>
      <c r="G14" t="s">
        <v>49</v>
      </c>
      <c r="H14" t="s">
        <v>65</v>
      </c>
      <c r="I14" t="s">
        <v>26</v>
      </c>
      <c r="J14" t="s">
        <v>27</v>
      </c>
      <c r="K14" t="s">
        <v>27</v>
      </c>
      <c r="L14" s="10" t="s">
        <v>27</v>
      </c>
      <c r="M14" s="3" t="s">
        <v>27</v>
      </c>
      <c r="N14" t="s">
        <v>28</v>
      </c>
      <c r="O14" t="s">
        <v>66</v>
      </c>
      <c r="P14" t="s">
        <v>30</v>
      </c>
      <c r="Q14" t="s">
        <v>31</v>
      </c>
      <c r="R14" t="s">
        <v>67</v>
      </c>
      <c r="S14" t="s">
        <v>40</v>
      </c>
      <c r="T14" s="6">
        <v>410000262971</v>
      </c>
      <c r="U14">
        <v>0</v>
      </c>
      <c r="V14" t="s">
        <v>195</v>
      </c>
      <c r="W14" t="s">
        <v>199</v>
      </c>
      <c r="X14" t="s">
        <v>203</v>
      </c>
      <c r="Z14" s="8">
        <v>13058.84</v>
      </c>
      <c r="AA14" s="8">
        <v>-7206.55</v>
      </c>
      <c r="AB14" s="8">
        <v>5852.29</v>
      </c>
      <c r="AC14" s="9" t="s">
        <v>240</v>
      </c>
      <c r="AD14" t="s">
        <v>220</v>
      </c>
      <c r="AE14" t="s">
        <v>214</v>
      </c>
      <c r="AF14" t="s">
        <v>213</v>
      </c>
    </row>
    <row r="15" spans="1:32" x14ac:dyDescent="0.25">
      <c r="A15">
        <v>116823</v>
      </c>
      <c r="B15" t="s">
        <v>156</v>
      </c>
      <c r="C15" t="s">
        <v>157</v>
      </c>
      <c r="D15" t="s">
        <v>21</v>
      </c>
      <c r="E15" t="s">
        <v>22</v>
      </c>
      <c r="F15" t="s">
        <v>23</v>
      </c>
      <c r="G15" t="s">
        <v>43</v>
      </c>
      <c r="H15" t="s">
        <v>158</v>
      </c>
      <c r="I15" t="s">
        <v>159</v>
      </c>
      <c r="J15" t="s">
        <v>27</v>
      </c>
      <c r="K15" t="s">
        <v>27</v>
      </c>
      <c r="L15" s="10" t="s">
        <v>27</v>
      </c>
      <c r="M15" s="3" t="s">
        <v>27</v>
      </c>
      <c r="N15" t="s">
        <v>28</v>
      </c>
      <c r="O15" t="s">
        <v>160</v>
      </c>
      <c r="P15" t="s">
        <v>30</v>
      </c>
      <c r="Q15" t="s">
        <v>72</v>
      </c>
      <c r="R15" t="s">
        <v>161</v>
      </c>
      <c r="S15" t="s">
        <v>33</v>
      </c>
      <c r="T15" s="6">
        <v>410000237156</v>
      </c>
      <c r="U15">
        <v>0</v>
      </c>
      <c r="V15" t="s">
        <v>195</v>
      </c>
      <c r="W15" t="s">
        <v>199</v>
      </c>
      <c r="X15" t="s">
        <v>203</v>
      </c>
      <c r="Z15" s="8">
        <v>9207.7099999999991</v>
      </c>
      <c r="AA15" s="8">
        <v>-3121.56</v>
      </c>
      <c r="AB15" s="8">
        <v>6086.15</v>
      </c>
      <c r="AC15" s="9" t="s">
        <v>238</v>
      </c>
      <c r="AD15" t="s">
        <v>221</v>
      </c>
      <c r="AE15" t="s">
        <v>222</v>
      </c>
      <c r="AF15" t="s">
        <v>213</v>
      </c>
    </row>
    <row r="16" spans="1:32" x14ac:dyDescent="0.25">
      <c r="A16">
        <v>111172</v>
      </c>
      <c r="B16" t="s">
        <v>107</v>
      </c>
      <c r="C16" t="s">
        <v>108</v>
      </c>
      <c r="D16" t="s">
        <v>36</v>
      </c>
      <c r="E16" t="s">
        <v>22</v>
      </c>
      <c r="F16" t="s">
        <v>38</v>
      </c>
      <c r="G16" t="s">
        <v>79</v>
      </c>
      <c r="H16" t="s">
        <v>109</v>
      </c>
      <c r="I16" t="s">
        <v>26</v>
      </c>
      <c r="J16">
        <v>4502732645</v>
      </c>
      <c r="K16" t="s">
        <v>27</v>
      </c>
      <c r="L16" s="10">
        <v>6000006422</v>
      </c>
      <c r="M16" s="3">
        <v>930000076913</v>
      </c>
      <c r="N16" t="s">
        <v>28</v>
      </c>
      <c r="O16" t="s">
        <v>110</v>
      </c>
      <c r="P16" t="s">
        <v>30</v>
      </c>
      <c r="Q16" t="s">
        <v>31</v>
      </c>
      <c r="R16" t="s">
        <v>111</v>
      </c>
      <c r="S16" t="s">
        <v>40</v>
      </c>
      <c r="T16" s="6">
        <v>930000076913</v>
      </c>
      <c r="U16">
        <v>0</v>
      </c>
      <c r="V16" t="s">
        <v>195</v>
      </c>
      <c r="W16" t="s">
        <v>199</v>
      </c>
      <c r="X16" t="s">
        <v>202</v>
      </c>
      <c r="Y16" t="s">
        <v>202</v>
      </c>
      <c r="Z16" s="8">
        <v>3030.29</v>
      </c>
      <c r="AA16" s="8">
        <v>-3030.29</v>
      </c>
      <c r="AB16" s="8">
        <v>0</v>
      </c>
      <c r="AC16" s="9" t="s">
        <v>237</v>
      </c>
      <c r="AD16" t="s">
        <v>220</v>
      </c>
      <c r="AE16" t="s">
        <v>223</v>
      </c>
      <c r="AF16" t="s">
        <v>213</v>
      </c>
    </row>
    <row r="17" spans="1:32" x14ac:dyDescent="0.25">
      <c r="A17">
        <v>61383</v>
      </c>
      <c r="B17" t="s">
        <v>170</v>
      </c>
      <c r="C17" t="s">
        <v>171</v>
      </c>
      <c r="D17" t="s">
        <v>36</v>
      </c>
      <c r="E17" t="s">
        <v>22</v>
      </c>
      <c r="F17" t="s">
        <v>38</v>
      </c>
      <c r="G17" t="s">
        <v>79</v>
      </c>
      <c r="H17" t="s">
        <v>165</v>
      </c>
      <c r="I17" t="s">
        <v>81</v>
      </c>
      <c r="J17">
        <v>4502732645</v>
      </c>
      <c r="K17" t="s">
        <v>27</v>
      </c>
      <c r="L17" s="10">
        <v>6000007885</v>
      </c>
      <c r="M17" s="3">
        <v>1110023989</v>
      </c>
      <c r="N17" t="s">
        <v>28</v>
      </c>
      <c r="O17" t="s">
        <v>166</v>
      </c>
      <c r="P17" t="s">
        <v>30</v>
      </c>
      <c r="Q17" t="s">
        <v>31</v>
      </c>
      <c r="R17" t="s">
        <v>167</v>
      </c>
      <c r="S17" t="s">
        <v>40</v>
      </c>
      <c r="T17" s="6">
        <v>410000088611</v>
      </c>
      <c r="U17">
        <v>0</v>
      </c>
      <c r="V17" t="s">
        <v>195</v>
      </c>
      <c r="W17" t="s">
        <v>199</v>
      </c>
      <c r="X17" t="s">
        <v>202</v>
      </c>
      <c r="Y17" t="s">
        <v>202</v>
      </c>
      <c r="Z17" s="8">
        <v>14955.63</v>
      </c>
      <c r="AA17" s="8">
        <v>-14955.63</v>
      </c>
      <c r="AB17" s="8">
        <v>0</v>
      </c>
      <c r="AC17" t="s">
        <v>217</v>
      </c>
      <c r="AD17" t="s">
        <v>218</v>
      </c>
      <c r="AE17" t="s">
        <v>224</v>
      </c>
      <c r="AF17" t="s">
        <v>213</v>
      </c>
    </row>
    <row r="18" spans="1:32" x14ac:dyDescent="0.25">
      <c r="A18">
        <v>70049</v>
      </c>
      <c r="B18" t="s">
        <v>74</v>
      </c>
      <c r="C18" t="s">
        <v>75</v>
      </c>
      <c r="D18" t="s">
        <v>36</v>
      </c>
      <c r="E18" t="s">
        <v>22</v>
      </c>
      <c r="F18" t="s">
        <v>38</v>
      </c>
      <c r="G18" t="s">
        <v>76</v>
      </c>
      <c r="H18" t="s">
        <v>70</v>
      </c>
      <c r="I18" t="s">
        <v>26</v>
      </c>
      <c r="J18">
        <v>4503132284</v>
      </c>
      <c r="K18" t="s">
        <v>27</v>
      </c>
      <c r="L18" s="10">
        <v>6000009680</v>
      </c>
      <c r="M18" s="3">
        <v>1110089983</v>
      </c>
      <c r="N18" t="s">
        <v>28</v>
      </c>
      <c r="O18" t="s">
        <v>71</v>
      </c>
      <c r="P18" t="s">
        <v>30</v>
      </c>
      <c r="Q18" t="s">
        <v>56</v>
      </c>
      <c r="R18" t="s">
        <v>73</v>
      </c>
      <c r="S18" t="s">
        <v>40</v>
      </c>
      <c r="T18" s="6">
        <v>410000100850</v>
      </c>
      <c r="U18">
        <v>0</v>
      </c>
      <c r="V18" t="s">
        <v>195</v>
      </c>
      <c r="W18" t="s">
        <v>199</v>
      </c>
      <c r="X18" t="s">
        <v>202</v>
      </c>
      <c r="Y18" t="s">
        <v>202</v>
      </c>
      <c r="Z18" s="8">
        <v>1954.28</v>
      </c>
      <c r="AA18" s="8">
        <v>-1954.28</v>
      </c>
      <c r="AB18" s="8">
        <v>0</v>
      </c>
      <c r="AC18" t="s">
        <v>217</v>
      </c>
      <c r="AD18" t="s">
        <v>218</v>
      </c>
      <c r="AE18" t="s">
        <v>219</v>
      </c>
      <c r="AF18" t="s">
        <v>225</v>
      </c>
    </row>
    <row r="19" spans="1:32" x14ac:dyDescent="0.25">
      <c r="A19">
        <v>71930</v>
      </c>
      <c r="B19" t="s">
        <v>77</v>
      </c>
      <c r="C19" t="s">
        <v>78</v>
      </c>
      <c r="D19" t="s">
        <v>36</v>
      </c>
      <c r="E19" t="s">
        <v>22</v>
      </c>
      <c r="F19" t="s">
        <v>38</v>
      </c>
      <c r="G19" t="s">
        <v>79</v>
      </c>
      <c r="H19" t="s">
        <v>80</v>
      </c>
      <c r="I19" t="s">
        <v>81</v>
      </c>
      <c r="J19">
        <v>4502732645</v>
      </c>
      <c r="K19" t="s">
        <v>27</v>
      </c>
      <c r="L19" s="10">
        <v>6000025271</v>
      </c>
      <c r="M19" s="3">
        <v>930000055329</v>
      </c>
      <c r="N19" t="s">
        <v>28</v>
      </c>
      <c r="O19" t="s">
        <v>82</v>
      </c>
      <c r="P19" t="s">
        <v>30</v>
      </c>
      <c r="Q19" t="s">
        <v>56</v>
      </c>
      <c r="R19" t="s">
        <v>83</v>
      </c>
      <c r="S19" t="s">
        <v>40</v>
      </c>
      <c r="T19" s="6">
        <v>930000055329</v>
      </c>
      <c r="U19">
        <v>0</v>
      </c>
      <c r="V19" t="s">
        <v>195</v>
      </c>
      <c r="W19" t="s">
        <v>199</v>
      </c>
      <c r="X19" t="s">
        <v>202</v>
      </c>
      <c r="Y19" t="s">
        <v>202</v>
      </c>
      <c r="Z19" s="8">
        <v>10320.64</v>
      </c>
      <c r="AA19" s="8">
        <v>-10320.64</v>
      </c>
      <c r="AB19" s="8">
        <v>0</v>
      </c>
      <c r="AC19" s="9" t="s">
        <v>237</v>
      </c>
      <c r="AD19" t="s">
        <v>220</v>
      </c>
      <c r="AE19" t="s">
        <v>224</v>
      </c>
      <c r="AF19" t="s">
        <v>213</v>
      </c>
    </row>
    <row r="20" spans="1:32" x14ac:dyDescent="0.25">
      <c r="A20">
        <v>88244</v>
      </c>
      <c r="B20" t="s">
        <v>117</v>
      </c>
      <c r="C20" t="s">
        <v>118</v>
      </c>
      <c r="D20" t="s">
        <v>36</v>
      </c>
      <c r="E20" t="s">
        <v>22</v>
      </c>
      <c r="F20" t="s">
        <v>38</v>
      </c>
      <c r="G20" t="s">
        <v>79</v>
      </c>
      <c r="H20" t="s">
        <v>109</v>
      </c>
      <c r="I20" t="s">
        <v>26</v>
      </c>
      <c r="J20">
        <v>4502732645</v>
      </c>
      <c r="K20" t="s">
        <v>27</v>
      </c>
      <c r="L20" s="10">
        <v>6000029556</v>
      </c>
      <c r="M20" s="3">
        <v>8832007470</v>
      </c>
      <c r="N20" t="s">
        <v>28</v>
      </c>
      <c r="O20" t="s">
        <v>110</v>
      </c>
      <c r="P20" t="s">
        <v>30</v>
      </c>
      <c r="Q20" t="s">
        <v>31</v>
      </c>
      <c r="R20" t="s">
        <v>111</v>
      </c>
      <c r="S20" t="s">
        <v>40</v>
      </c>
      <c r="T20" s="6">
        <v>410000095566</v>
      </c>
      <c r="U20">
        <v>0</v>
      </c>
      <c r="V20" t="s">
        <v>195</v>
      </c>
      <c r="W20" t="s">
        <v>199</v>
      </c>
      <c r="X20" t="s">
        <v>202</v>
      </c>
      <c r="Y20" t="s">
        <v>202</v>
      </c>
      <c r="Z20" s="8">
        <v>56709.919999999998</v>
      </c>
      <c r="AA20" s="8">
        <v>-56709.919999999998</v>
      </c>
      <c r="AB20" s="8">
        <v>0</v>
      </c>
      <c r="AC20" t="s">
        <v>226</v>
      </c>
      <c r="AD20" t="s">
        <v>218</v>
      </c>
      <c r="AE20" t="s">
        <v>224</v>
      </c>
      <c r="AF20" t="s">
        <v>213</v>
      </c>
    </row>
    <row r="21" spans="1:32" x14ac:dyDescent="0.25">
      <c r="A21">
        <v>57501</v>
      </c>
      <c r="B21">
        <v>110641630</v>
      </c>
      <c r="C21" t="s">
        <v>112</v>
      </c>
      <c r="D21" t="s">
        <v>36</v>
      </c>
      <c r="E21" t="s">
        <v>113</v>
      </c>
      <c r="F21" t="s">
        <v>114</v>
      </c>
      <c r="G21" t="s">
        <v>115</v>
      </c>
      <c r="H21" t="s">
        <v>109</v>
      </c>
      <c r="I21" t="s">
        <v>26</v>
      </c>
      <c r="J21" t="s">
        <v>116</v>
      </c>
      <c r="K21" t="s">
        <v>27</v>
      </c>
      <c r="L21" s="10">
        <v>6000037168</v>
      </c>
      <c r="M21" s="3">
        <v>1110098752</v>
      </c>
      <c r="N21" t="s">
        <v>28</v>
      </c>
      <c r="O21" t="s">
        <v>110</v>
      </c>
      <c r="P21" t="s">
        <v>30</v>
      </c>
      <c r="Q21" t="s">
        <v>31</v>
      </c>
      <c r="R21" t="s">
        <v>111</v>
      </c>
      <c r="S21" t="s">
        <v>40</v>
      </c>
      <c r="T21" s="6">
        <v>410000104301</v>
      </c>
      <c r="U21">
        <v>0</v>
      </c>
      <c r="V21" t="s">
        <v>195</v>
      </c>
      <c r="W21" t="s">
        <v>199</v>
      </c>
      <c r="X21" t="s">
        <v>202</v>
      </c>
      <c r="Y21" t="s">
        <v>202</v>
      </c>
      <c r="Z21" s="8">
        <v>1296.43</v>
      </c>
      <c r="AA21" s="8">
        <v>-1296.43</v>
      </c>
      <c r="AB21" s="8">
        <v>0</v>
      </c>
      <c r="AC21" t="s">
        <v>217</v>
      </c>
      <c r="AD21" t="s">
        <v>218</v>
      </c>
      <c r="AE21" t="s">
        <v>219</v>
      </c>
      <c r="AF21" t="s">
        <v>225</v>
      </c>
    </row>
    <row r="22" spans="1:32" x14ac:dyDescent="0.25">
      <c r="A22">
        <v>70557</v>
      </c>
      <c r="B22" t="s">
        <v>53</v>
      </c>
      <c r="C22" t="s">
        <v>54</v>
      </c>
      <c r="D22" t="s">
        <v>36</v>
      </c>
      <c r="E22" t="s">
        <v>37</v>
      </c>
      <c r="F22" t="s">
        <v>38</v>
      </c>
      <c r="G22" t="s">
        <v>55</v>
      </c>
      <c r="H22" t="s">
        <v>50</v>
      </c>
      <c r="I22" t="s">
        <v>26</v>
      </c>
      <c r="J22">
        <v>4503119665</v>
      </c>
      <c r="K22">
        <v>1</v>
      </c>
      <c r="L22" s="10">
        <v>6000044486</v>
      </c>
      <c r="M22" s="3">
        <v>1110104404</v>
      </c>
      <c r="N22" t="s">
        <v>28</v>
      </c>
      <c r="O22" t="s">
        <v>51</v>
      </c>
      <c r="P22" t="s">
        <v>30</v>
      </c>
      <c r="Q22" t="s">
        <v>56</v>
      </c>
      <c r="R22" t="s">
        <v>52</v>
      </c>
      <c r="S22" t="s">
        <v>40</v>
      </c>
      <c r="T22" s="6">
        <v>410000104924</v>
      </c>
      <c r="U22">
        <v>0</v>
      </c>
      <c r="V22" t="s">
        <v>195</v>
      </c>
      <c r="W22" t="s">
        <v>199</v>
      </c>
      <c r="X22" t="s">
        <v>202</v>
      </c>
      <c r="Y22" t="s">
        <v>202</v>
      </c>
      <c r="Z22" s="8">
        <v>5013.8500000000004</v>
      </c>
      <c r="AA22" s="8">
        <v>-5013.8500000000004</v>
      </c>
      <c r="AB22" s="8">
        <v>0</v>
      </c>
      <c r="AC22" t="s">
        <v>217</v>
      </c>
      <c r="AD22" t="s">
        <v>218</v>
      </c>
      <c r="AE22" t="s">
        <v>219</v>
      </c>
      <c r="AF22" t="s">
        <v>225</v>
      </c>
    </row>
    <row r="23" spans="1:32" x14ac:dyDescent="0.25">
      <c r="A23">
        <v>87038</v>
      </c>
      <c r="B23" t="s">
        <v>57</v>
      </c>
      <c r="C23" t="s">
        <v>58</v>
      </c>
      <c r="D23" t="s">
        <v>36</v>
      </c>
      <c r="E23" t="s">
        <v>22</v>
      </c>
      <c r="F23" t="s">
        <v>38</v>
      </c>
      <c r="G23" t="s">
        <v>59</v>
      </c>
      <c r="H23" t="s">
        <v>50</v>
      </c>
      <c r="I23" t="s">
        <v>26</v>
      </c>
      <c r="J23" t="s">
        <v>60</v>
      </c>
      <c r="K23" t="s">
        <v>27</v>
      </c>
      <c r="L23" s="10">
        <v>6000056564</v>
      </c>
      <c r="M23" s="3">
        <v>8832036614</v>
      </c>
      <c r="N23" t="s">
        <v>28</v>
      </c>
      <c r="O23" t="s">
        <v>51</v>
      </c>
      <c r="P23" t="s">
        <v>30</v>
      </c>
      <c r="Q23" t="s">
        <v>31</v>
      </c>
      <c r="R23" t="s">
        <v>52</v>
      </c>
      <c r="S23" t="s">
        <v>40</v>
      </c>
      <c r="T23" s="6">
        <v>410000125237</v>
      </c>
      <c r="U23">
        <v>0</v>
      </c>
      <c r="V23" t="s">
        <v>195</v>
      </c>
      <c r="W23" t="s">
        <v>199</v>
      </c>
      <c r="X23" t="s">
        <v>202</v>
      </c>
      <c r="Y23" t="s">
        <v>202</v>
      </c>
      <c r="Z23" s="8">
        <v>5483.69</v>
      </c>
      <c r="AA23" s="8">
        <v>-5483.69</v>
      </c>
      <c r="AB23" s="8">
        <v>0</v>
      </c>
      <c r="AC23" t="s">
        <v>217</v>
      </c>
      <c r="AD23" t="s">
        <v>218</v>
      </c>
      <c r="AE23" t="s">
        <v>219</v>
      </c>
      <c r="AF23" t="s">
        <v>213</v>
      </c>
    </row>
    <row r="24" spans="1:32" x14ac:dyDescent="0.25">
      <c r="A24">
        <v>68446</v>
      </c>
      <c r="B24" t="s">
        <v>102</v>
      </c>
      <c r="C24" t="s">
        <v>103</v>
      </c>
      <c r="D24" t="s">
        <v>36</v>
      </c>
      <c r="E24" t="s">
        <v>22</v>
      </c>
      <c r="F24" t="s">
        <v>38</v>
      </c>
      <c r="G24" t="s">
        <v>79</v>
      </c>
      <c r="H24" t="s">
        <v>104</v>
      </c>
      <c r="I24" t="s">
        <v>26</v>
      </c>
      <c r="J24">
        <v>4502972141</v>
      </c>
      <c r="K24" t="s">
        <v>27</v>
      </c>
      <c r="L24" s="10">
        <v>6000061991</v>
      </c>
      <c r="M24" s="3">
        <v>1110119758</v>
      </c>
      <c r="N24" t="s">
        <v>28</v>
      </c>
      <c r="O24" t="s">
        <v>105</v>
      </c>
      <c r="P24" t="s">
        <v>30</v>
      </c>
      <c r="Q24" t="s">
        <v>72</v>
      </c>
      <c r="R24" t="s">
        <v>106</v>
      </c>
      <c r="S24" t="s">
        <v>40</v>
      </c>
      <c r="T24" s="6">
        <v>410000106582</v>
      </c>
      <c r="U24">
        <v>0</v>
      </c>
      <c r="V24" t="s">
        <v>195</v>
      </c>
      <c r="W24" t="s">
        <v>199</v>
      </c>
      <c r="X24" t="s">
        <v>202</v>
      </c>
      <c r="Y24" t="s">
        <v>202</v>
      </c>
      <c r="Z24" s="8">
        <v>1016.4</v>
      </c>
      <c r="AA24" s="8">
        <v>-1016.4</v>
      </c>
      <c r="AB24" s="8">
        <v>0</v>
      </c>
      <c r="AC24" t="s">
        <v>217</v>
      </c>
      <c r="AD24" t="s">
        <v>218</v>
      </c>
      <c r="AE24" t="s">
        <v>227</v>
      </c>
      <c r="AF24" t="s">
        <v>225</v>
      </c>
    </row>
    <row r="25" spans="1:32" x14ac:dyDescent="0.25">
      <c r="A25">
        <v>54698</v>
      </c>
      <c r="B25" t="s">
        <v>34</v>
      </c>
      <c r="C25" t="s">
        <v>35</v>
      </c>
      <c r="D25" t="s">
        <v>36</v>
      </c>
      <c r="E25" t="s">
        <v>37</v>
      </c>
      <c r="F25" t="s">
        <v>38</v>
      </c>
      <c r="G25" t="s">
        <v>39</v>
      </c>
      <c r="H25" t="s">
        <v>25</v>
      </c>
      <c r="I25" t="s">
        <v>26</v>
      </c>
      <c r="J25">
        <v>4502732212</v>
      </c>
      <c r="K25" t="s">
        <v>27</v>
      </c>
      <c r="L25" s="10">
        <v>6000062553</v>
      </c>
      <c r="M25" s="3">
        <v>1210086695</v>
      </c>
      <c r="N25" t="s">
        <v>28</v>
      </c>
      <c r="O25" t="s">
        <v>29</v>
      </c>
      <c r="P25" t="s">
        <v>30</v>
      </c>
      <c r="Q25" t="s">
        <v>31</v>
      </c>
      <c r="R25" t="s">
        <v>32</v>
      </c>
      <c r="S25" t="s">
        <v>40</v>
      </c>
      <c r="T25" s="6">
        <v>410000089113</v>
      </c>
      <c r="U25">
        <v>0</v>
      </c>
      <c r="V25" t="s">
        <v>195</v>
      </c>
      <c r="W25" t="s">
        <v>199</v>
      </c>
      <c r="X25" t="s">
        <v>202</v>
      </c>
      <c r="Y25" t="s">
        <v>202</v>
      </c>
      <c r="Z25" s="8">
        <v>4456.21</v>
      </c>
      <c r="AA25" s="8">
        <v>-4456.21</v>
      </c>
      <c r="AB25" s="8">
        <v>0</v>
      </c>
      <c r="AC25" t="s">
        <v>228</v>
      </c>
      <c r="AD25" t="s">
        <v>229</v>
      </c>
      <c r="AE25" t="s">
        <v>230</v>
      </c>
      <c r="AF25" t="s">
        <v>225</v>
      </c>
    </row>
    <row r="26" spans="1:32" x14ac:dyDescent="0.25">
      <c r="A26">
        <v>95674</v>
      </c>
      <c r="B26" t="s">
        <v>95</v>
      </c>
      <c r="C26" t="s">
        <v>96</v>
      </c>
      <c r="D26" t="s">
        <v>21</v>
      </c>
      <c r="E26" t="s">
        <v>22</v>
      </c>
      <c r="F26" t="s">
        <v>23</v>
      </c>
      <c r="G26" t="s">
        <v>86</v>
      </c>
      <c r="H26" t="s">
        <v>90</v>
      </c>
      <c r="I26" t="s">
        <v>26</v>
      </c>
      <c r="J26">
        <v>4505867573</v>
      </c>
      <c r="K26">
        <v>2</v>
      </c>
      <c r="L26" s="10">
        <v>6050000323</v>
      </c>
      <c r="M26" s="3" t="s">
        <v>27</v>
      </c>
      <c r="N26" t="s">
        <v>28</v>
      </c>
      <c r="O26" t="s">
        <v>91</v>
      </c>
      <c r="P26" t="s">
        <v>30</v>
      </c>
      <c r="Q26" t="s">
        <v>31</v>
      </c>
      <c r="R26" t="s">
        <v>92</v>
      </c>
      <c r="S26" t="s">
        <v>33</v>
      </c>
      <c r="T26" s="6">
        <v>410000086791</v>
      </c>
      <c r="U26">
        <v>0</v>
      </c>
      <c r="V26" t="s">
        <v>195</v>
      </c>
      <c r="W26" t="s">
        <v>199</v>
      </c>
      <c r="X26" t="s">
        <v>202</v>
      </c>
      <c r="Y26" t="s">
        <v>202</v>
      </c>
      <c r="Z26" s="8">
        <v>3490.19</v>
      </c>
      <c r="AA26" s="8">
        <v>-2811.55</v>
      </c>
      <c r="AB26" s="8">
        <v>678.64</v>
      </c>
      <c r="AC26" s="9" t="s">
        <v>240</v>
      </c>
      <c r="AD26" t="s">
        <v>218</v>
      </c>
      <c r="AE26" t="s">
        <v>219</v>
      </c>
      <c r="AF26" t="s">
        <v>213</v>
      </c>
    </row>
    <row r="27" spans="1:32" x14ac:dyDescent="0.25">
      <c r="A27">
        <v>97578</v>
      </c>
      <c r="B27" t="s">
        <v>84</v>
      </c>
      <c r="C27" t="s">
        <v>85</v>
      </c>
      <c r="D27" t="s">
        <v>21</v>
      </c>
      <c r="E27" t="s">
        <v>22</v>
      </c>
      <c r="F27" t="s">
        <v>23</v>
      </c>
      <c r="G27" t="s">
        <v>86</v>
      </c>
      <c r="H27" t="s">
        <v>80</v>
      </c>
      <c r="I27" t="s">
        <v>81</v>
      </c>
      <c r="J27">
        <v>4506172326</v>
      </c>
      <c r="K27">
        <v>2</v>
      </c>
      <c r="L27" s="10">
        <v>6050002350</v>
      </c>
      <c r="M27" s="3" t="s">
        <v>27</v>
      </c>
      <c r="N27" t="s">
        <v>28</v>
      </c>
      <c r="O27" t="s">
        <v>82</v>
      </c>
      <c r="P27" t="s">
        <v>30</v>
      </c>
      <c r="Q27" t="s">
        <v>72</v>
      </c>
      <c r="R27" t="s">
        <v>83</v>
      </c>
      <c r="S27" t="s">
        <v>33</v>
      </c>
      <c r="T27" s="6">
        <v>410000092972</v>
      </c>
      <c r="U27">
        <v>0</v>
      </c>
      <c r="V27" t="s">
        <v>195</v>
      </c>
      <c r="W27" t="s">
        <v>199</v>
      </c>
      <c r="X27" t="s">
        <v>202</v>
      </c>
      <c r="Y27" t="s">
        <v>202</v>
      </c>
      <c r="Z27" s="8">
        <v>3947.23</v>
      </c>
      <c r="AA27" s="8">
        <v>-3216.26</v>
      </c>
      <c r="AB27" s="8">
        <v>730.97</v>
      </c>
      <c r="AC27" t="s">
        <v>217</v>
      </c>
      <c r="AD27" t="s">
        <v>218</v>
      </c>
      <c r="AE27" t="s">
        <v>219</v>
      </c>
      <c r="AF27" t="s">
        <v>213</v>
      </c>
    </row>
    <row r="28" spans="1:32" x14ac:dyDescent="0.25">
      <c r="A28">
        <v>88258</v>
      </c>
      <c r="B28" t="s">
        <v>93</v>
      </c>
      <c r="C28" t="s">
        <v>94</v>
      </c>
      <c r="D28" t="s">
        <v>21</v>
      </c>
      <c r="E28" t="s">
        <v>22</v>
      </c>
      <c r="F28" t="s">
        <v>23</v>
      </c>
      <c r="G28" t="s">
        <v>24</v>
      </c>
      <c r="H28" t="s">
        <v>90</v>
      </c>
      <c r="I28" t="s">
        <v>26</v>
      </c>
      <c r="J28">
        <v>4506390109</v>
      </c>
      <c r="K28">
        <v>1</v>
      </c>
      <c r="L28" s="10">
        <v>6050003252</v>
      </c>
      <c r="M28" s="3" t="s">
        <v>27</v>
      </c>
      <c r="N28" t="s">
        <v>28</v>
      </c>
      <c r="O28" t="s">
        <v>91</v>
      </c>
      <c r="P28" t="s">
        <v>30</v>
      </c>
      <c r="Q28" t="s">
        <v>31</v>
      </c>
      <c r="R28" t="s">
        <v>92</v>
      </c>
      <c r="S28" t="s">
        <v>33</v>
      </c>
      <c r="T28" s="6">
        <v>410000096360</v>
      </c>
      <c r="U28">
        <v>0</v>
      </c>
      <c r="V28" t="s">
        <v>195</v>
      </c>
      <c r="W28" t="s">
        <v>199</v>
      </c>
      <c r="X28" t="s">
        <v>202</v>
      </c>
      <c r="Y28" t="s">
        <v>202</v>
      </c>
      <c r="Z28" s="8">
        <v>3933.41</v>
      </c>
      <c r="AA28" s="8">
        <v>-2986.49</v>
      </c>
      <c r="AB28" s="8">
        <v>946.92</v>
      </c>
      <c r="AC28" t="s">
        <v>217</v>
      </c>
      <c r="AD28" t="s">
        <v>218</v>
      </c>
      <c r="AE28" t="s">
        <v>219</v>
      </c>
      <c r="AF28" t="s">
        <v>213</v>
      </c>
    </row>
    <row r="29" spans="1:32" x14ac:dyDescent="0.25">
      <c r="A29">
        <v>88465</v>
      </c>
      <c r="B29" t="s">
        <v>61</v>
      </c>
      <c r="C29" t="s">
        <v>62</v>
      </c>
      <c r="D29" t="s">
        <v>21</v>
      </c>
      <c r="E29" t="s">
        <v>22</v>
      </c>
      <c r="F29" t="s">
        <v>23</v>
      </c>
      <c r="G29" t="s">
        <v>24</v>
      </c>
      <c r="H29" t="s">
        <v>50</v>
      </c>
      <c r="I29" t="s">
        <v>26</v>
      </c>
      <c r="J29">
        <v>4506390110</v>
      </c>
      <c r="K29">
        <v>1</v>
      </c>
      <c r="L29" s="10">
        <v>6050003279</v>
      </c>
      <c r="M29" s="3" t="s">
        <v>27</v>
      </c>
      <c r="N29" t="s">
        <v>28</v>
      </c>
      <c r="O29" t="s">
        <v>51</v>
      </c>
      <c r="P29" t="s">
        <v>30</v>
      </c>
      <c r="Q29" t="s">
        <v>31</v>
      </c>
      <c r="R29" t="s">
        <v>52</v>
      </c>
      <c r="S29" t="s">
        <v>33</v>
      </c>
      <c r="T29" s="6">
        <v>410000094617</v>
      </c>
      <c r="U29">
        <v>0</v>
      </c>
      <c r="V29" t="s">
        <v>195</v>
      </c>
      <c r="W29" t="s">
        <v>199</v>
      </c>
      <c r="X29" t="s">
        <v>202</v>
      </c>
      <c r="Y29" t="s">
        <v>202</v>
      </c>
      <c r="Z29" s="8">
        <v>2355598.33</v>
      </c>
      <c r="AA29" s="8">
        <v>-1832132.05</v>
      </c>
      <c r="AB29" s="8">
        <v>523466.28</v>
      </c>
      <c r="AC29" t="s">
        <v>217</v>
      </c>
      <c r="AD29" t="s">
        <v>218</v>
      </c>
      <c r="AE29" t="s">
        <v>219</v>
      </c>
      <c r="AF29" t="s">
        <v>213</v>
      </c>
    </row>
    <row r="30" spans="1:32" x14ac:dyDescent="0.25">
      <c r="A30">
        <v>106151</v>
      </c>
      <c r="B30" t="s">
        <v>162</v>
      </c>
      <c r="C30" t="s">
        <v>163</v>
      </c>
      <c r="D30" t="s">
        <v>36</v>
      </c>
      <c r="E30" t="s">
        <v>22</v>
      </c>
      <c r="F30" t="s">
        <v>38</v>
      </c>
      <c r="G30" t="s">
        <v>164</v>
      </c>
      <c r="H30" t="s">
        <v>165</v>
      </c>
      <c r="I30" t="s">
        <v>81</v>
      </c>
      <c r="J30">
        <v>4506527115</v>
      </c>
      <c r="K30">
        <v>11</v>
      </c>
      <c r="L30" s="10">
        <v>6050004860</v>
      </c>
      <c r="M30" s="3" t="s">
        <v>27</v>
      </c>
      <c r="N30" t="s">
        <v>28</v>
      </c>
      <c r="O30" t="s">
        <v>166</v>
      </c>
      <c r="P30" t="s">
        <v>30</v>
      </c>
      <c r="Q30" t="s">
        <v>31</v>
      </c>
      <c r="R30" t="s">
        <v>167</v>
      </c>
      <c r="S30" t="s">
        <v>40</v>
      </c>
      <c r="T30" s="6">
        <v>410000139940</v>
      </c>
      <c r="U30">
        <v>0</v>
      </c>
      <c r="V30" t="s">
        <v>195</v>
      </c>
      <c r="W30" t="s">
        <v>199</v>
      </c>
      <c r="X30" t="s">
        <v>202</v>
      </c>
      <c r="Y30" t="s">
        <v>202</v>
      </c>
      <c r="Z30" s="8">
        <v>2786.34</v>
      </c>
      <c r="AA30" s="8">
        <v>-2786.34</v>
      </c>
      <c r="AB30" s="8">
        <v>0</v>
      </c>
      <c r="AC30" s="9" t="s">
        <v>240</v>
      </c>
      <c r="AD30" t="s">
        <v>218</v>
      </c>
      <c r="AE30" t="s">
        <v>219</v>
      </c>
      <c r="AF30" t="s">
        <v>213</v>
      </c>
    </row>
    <row r="31" spans="1:32" x14ac:dyDescent="0.25">
      <c r="A31">
        <v>100204</v>
      </c>
      <c r="B31" t="s">
        <v>134</v>
      </c>
      <c r="C31" t="s">
        <v>135</v>
      </c>
      <c r="D31" t="s">
        <v>21</v>
      </c>
      <c r="E31" t="s">
        <v>22</v>
      </c>
      <c r="F31" t="s">
        <v>23</v>
      </c>
      <c r="G31" t="s">
        <v>24</v>
      </c>
      <c r="H31" t="s">
        <v>136</v>
      </c>
      <c r="I31" t="s">
        <v>26</v>
      </c>
      <c r="J31">
        <v>4506527115</v>
      </c>
      <c r="K31">
        <v>10</v>
      </c>
      <c r="L31" s="10">
        <v>6050006023</v>
      </c>
      <c r="M31" s="3" t="s">
        <v>27</v>
      </c>
      <c r="N31" t="s">
        <v>28</v>
      </c>
      <c r="O31" t="s">
        <v>137</v>
      </c>
      <c r="P31" t="s">
        <v>30</v>
      </c>
      <c r="Q31" t="s">
        <v>31</v>
      </c>
      <c r="R31" t="s">
        <v>138</v>
      </c>
      <c r="S31" t="s">
        <v>33</v>
      </c>
      <c r="T31" s="6">
        <v>410000248454</v>
      </c>
      <c r="U31">
        <v>0</v>
      </c>
      <c r="V31" t="s">
        <v>195</v>
      </c>
      <c r="W31" t="s">
        <v>199</v>
      </c>
      <c r="X31" t="s">
        <v>202</v>
      </c>
      <c r="Y31" t="s">
        <v>202</v>
      </c>
      <c r="Z31" s="8">
        <v>3806.55</v>
      </c>
      <c r="AA31" s="8">
        <v>-2784.42</v>
      </c>
      <c r="AB31" s="8">
        <v>1022.13</v>
      </c>
      <c r="AC31" s="9" t="s">
        <v>240</v>
      </c>
      <c r="AD31" t="s">
        <v>220</v>
      </c>
      <c r="AE31" t="s">
        <v>231</v>
      </c>
      <c r="AF31" t="s">
        <v>213</v>
      </c>
    </row>
    <row r="32" spans="1:32" x14ac:dyDescent="0.25">
      <c r="A32">
        <v>100442</v>
      </c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>
        <v>4506527115</v>
      </c>
      <c r="K32">
        <v>10</v>
      </c>
      <c r="L32" s="10">
        <v>6050006456</v>
      </c>
      <c r="M32" s="3" t="s">
        <v>27</v>
      </c>
      <c r="N32" t="s">
        <v>28</v>
      </c>
      <c r="O32" t="s">
        <v>29</v>
      </c>
      <c r="P32" t="s">
        <v>30</v>
      </c>
      <c r="Q32" t="s">
        <v>31</v>
      </c>
      <c r="R32" t="s">
        <v>32</v>
      </c>
      <c r="S32" t="s">
        <v>33</v>
      </c>
      <c r="T32" s="6">
        <v>410000187744</v>
      </c>
      <c r="U32">
        <v>0</v>
      </c>
      <c r="V32" t="s">
        <v>195</v>
      </c>
      <c r="W32" t="s">
        <v>199</v>
      </c>
      <c r="X32" t="s">
        <v>202</v>
      </c>
      <c r="Y32" t="s">
        <v>202</v>
      </c>
      <c r="Z32" s="8">
        <v>3806.55</v>
      </c>
      <c r="AA32" s="8">
        <v>-3806.55</v>
      </c>
      <c r="AB32" s="8">
        <v>0</v>
      </c>
      <c r="AC32" s="9" t="s">
        <v>236</v>
      </c>
      <c r="AD32" t="s">
        <v>229</v>
      </c>
      <c r="AE32" t="s">
        <v>232</v>
      </c>
      <c r="AF32" t="s">
        <v>213</v>
      </c>
    </row>
    <row r="33" spans="1:32" x14ac:dyDescent="0.25">
      <c r="A33">
        <v>107220</v>
      </c>
      <c r="B33" t="s">
        <v>168</v>
      </c>
      <c r="C33" t="s">
        <v>169</v>
      </c>
      <c r="D33" t="s">
        <v>21</v>
      </c>
      <c r="E33" t="s">
        <v>22</v>
      </c>
      <c r="F33" t="s">
        <v>23</v>
      </c>
      <c r="G33" t="s">
        <v>43</v>
      </c>
      <c r="H33" t="s">
        <v>165</v>
      </c>
      <c r="I33" t="s">
        <v>81</v>
      </c>
      <c r="J33">
        <v>4507067608</v>
      </c>
      <c r="K33">
        <v>1</v>
      </c>
      <c r="L33" s="10">
        <v>6050007733</v>
      </c>
      <c r="M33" s="3" t="s">
        <v>27</v>
      </c>
      <c r="N33" t="s">
        <v>28</v>
      </c>
      <c r="O33" t="s">
        <v>166</v>
      </c>
      <c r="P33" t="s">
        <v>30</v>
      </c>
      <c r="Q33" t="s">
        <v>31</v>
      </c>
      <c r="R33" t="s">
        <v>167</v>
      </c>
      <c r="S33" t="s">
        <v>33</v>
      </c>
      <c r="T33" s="6">
        <v>410000140254</v>
      </c>
      <c r="U33">
        <v>0</v>
      </c>
      <c r="V33" t="s">
        <v>195</v>
      </c>
      <c r="W33" t="s">
        <v>199</v>
      </c>
      <c r="X33" t="s">
        <v>202</v>
      </c>
      <c r="Y33" t="s">
        <v>202</v>
      </c>
      <c r="Z33" s="8">
        <v>3445.86</v>
      </c>
      <c r="AA33" s="8">
        <v>-3445.86</v>
      </c>
      <c r="AB33" s="8">
        <v>0</v>
      </c>
      <c r="AC33" s="9" t="s">
        <v>240</v>
      </c>
      <c r="AD33" t="s">
        <v>218</v>
      </c>
      <c r="AE33" t="s">
        <v>219</v>
      </c>
      <c r="AF33" t="s">
        <v>213</v>
      </c>
    </row>
    <row r="34" spans="1:32" x14ac:dyDescent="0.25">
      <c r="A34">
        <v>105104</v>
      </c>
      <c r="B34" t="s">
        <v>129</v>
      </c>
      <c r="C34" t="s">
        <v>130</v>
      </c>
      <c r="D34" t="s">
        <v>21</v>
      </c>
      <c r="E34" t="s">
        <v>22</v>
      </c>
      <c r="F34" t="s">
        <v>23</v>
      </c>
      <c r="G34" t="s">
        <v>24</v>
      </c>
      <c r="H34" t="s">
        <v>131</v>
      </c>
      <c r="I34" t="s">
        <v>26</v>
      </c>
      <c r="J34">
        <v>4507110790</v>
      </c>
      <c r="K34">
        <v>1</v>
      </c>
      <c r="L34" s="10">
        <v>6050011628</v>
      </c>
      <c r="M34" s="3">
        <v>410000231626</v>
      </c>
      <c r="N34" t="s">
        <v>28</v>
      </c>
      <c r="O34" t="s">
        <v>132</v>
      </c>
      <c r="P34" t="s">
        <v>30</v>
      </c>
      <c r="Q34" t="s">
        <v>31</v>
      </c>
      <c r="R34" t="s">
        <v>133</v>
      </c>
      <c r="S34" t="s">
        <v>33</v>
      </c>
      <c r="T34" s="6">
        <v>410000231626</v>
      </c>
      <c r="U34">
        <v>0</v>
      </c>
      <c r="V34" t="s">
        <v>195</v>
      </c>
      <c r="W34" t="s">
        <v>199</v>
      </c>
      <c r="X34" t="s">
        <v>202</v>
      </c>
      <c r="Y34" t="s">
        <v>202</v>
      </c>
      <c r="Z34" s="8">
        <v>11395.12</v>
      </c>
      <c r="AA34" s="8">
        <v>-6742.1</v>
      </c>
      <c r="AB34" s="8">
        <v>4653.0200000000004</v>
      </c>
      <c r="AC34" s="9" t="s">
        <v>240</v>
      </c>
      <c r="AD34" t="s">
        <v>218</v>
      </c>
      <c r="AE34" t="s">
        <v>231</v>
      </c>
      <c r="AF34" t="s">
        <v>213</v>
      </c>
    </row>
    <row r="35" spans="1:32" x14ac:dyDescent="0.25">
      <c r="A35">
        <v>116108</v>
      </c>
      <c r="B35" t="s">
        <v>144</v>
      </c>
      <c r="C35" t="s">
        <v>145</v>
      </c>
      <c r="D35" t="s">
        <v>21</v>
      </c>
      <c r="E35" t="s">
        <v>22</v>
      </c>
      <c r="F35" t="s">
        <v>23</v>
      </c>
      <c r="G35" t="s">
        <v>146</v>
      </c>
      <c r="H35" t="s">
        <v>147</v>
      </c>
      <c r="I35" t="s">
        <v>26</v>
      </c>
      <c r="J35">
        <v>4508084736</v>
      </c>
      <c r="K35">
        <v>1</v>
      </c>
      <c r="L35" s="10">
        <v>6050011760</v>
      </c>
      <c r="M35" s="3">
        <v>410000231926</v>
      </c>
      <c r="N35" t="s">
        <v>28</v>
      </c>
      <c r="O35" t="s">
        <v>148</v>
      </c>
      <c r="P35" t="s">
        <v>30</v>
      </c>
      <c r="Q35" t="s">
        <v>31</v>
      </c>
      <c r="R35" t="s">
        <v>149</v>
      </c>
      <c r="S35" t="s">
        <v>33</v>
      </c>
      <c r="T35" s="6">
        <v>410000231926</v>
      </c>
      <c r="U35">
        <v>0</v>
      </c>
      <c r="V35" t="s">
        <v>195</v>
      </c>
      <c r="W35" t="s">
        <v>199</v>
      </c>
      <c r="X35" t="s">
        <v>202</v>
      </c>
      <c r="Y35" t="s">
        <v>202</v>
      </c>
      <c r="Z35" s="8">
        <v>11573.37</v>
      </c>
      <c r="AA35" s="8">
        <v>-6558.25</v>
      </c>
      <c r="AB35" s="8">
        <v>5015.12</v>
      </c>
      <c r="AC35" s="9" t="s">
        <v>240</v>
      </c>
      <c r="AD35" t="s">
        <v>218</v>
      </c>
      <c r="AE35" t="s">
        <v>231</v>
      </c>
      <c r="AF35" t="s">
        <v>213</v>
      </c>
    </row>
    <row r="36" spans="1:32" x14ac:dyDescent="0.25">
      <c r="A36">
        <v>109578</v>
      </c>
      <c r="B36" t="s">
        <v>139</v>
      </c>
      <c r="C36" t="s">
        <v>140</v>
      </c>
      <c r="D36" t="s">
        <v>21</v>
      </c>
      <c r="E36" t="s">
        <v>22</v>
      </c>
      <c r="F36" t="s">
        <v>23</v>
      </c>
      <c r="G36" t="s">
        <v>43</v>
      </c>
      <c r="H36" t="s">
        <v>141</v>
      </c>
      <c r="I36" t="s">
        <v>26</v>
      </c>
      <c r="J36">
        <v>4507306659</v>
      </c>
      <c r="K36">
        <v>4</v>
      </c>
      <c r="L36" s="10">
        <v>6050012060</v>
      </c>
      <c r="M36" s="3">
        <v>410000247484</v>
      </c>
      <c r="N36" t="s">
        <v>28</v>
      </c>
      <c r="O36" t="s">
        <v>142</v>
      </c>
      <c r="P36" t="s">
        <v>30</v>
      </c>
      <c r="Q36" t="s">
        <v>31</v>
      </c>
      <c r="R36" t="s">
        <v>143</v>
      </c>
      <c r="S36" t="s">
        <v>33</v>
      </c>
      <c r="T36" s="6">
        <v>410000247484</v>
      </c>
      <c r="U36">
        <v>0</v>
      </c>
      <c r="V36" t="s">
        <v>195</v>
      </c>
      <c r="W36" t="s">
        <v>199</v>
      </c>
      <c r="X36" t="s">
        <v>202</v>
      </c>
      <c r="Y36" t="s">
        <v>202</v>
      </c>
      <c r="Z36" s="8">
        <v>400</v>
      </c>
      <c r="AA36" s="8">
        <v>-355.56</v>
      </c>
      <c r="AB36" s="8">
        <v>44.44</v>
      </c>
      <c r="AC36" t="s">
        <v>233</v>
      </c>
      <c r="AD36" t="s">
        <v>234</v>
      </c>
      <c r="AE36" t="s">
        <v>235</v>
      </c>
      <c r="AF36" t="s">
        <v>213</v>
      </c>
    </row>
    <row r="37" spans="1:32" x14ac:dyDescent="0.25">
      <c r="Z37" s="11">
        <f>SUM(Z2:Z36)</f>
        <v>2691108.8899999997</v>
      </c>
      <c r="AA37" s="11">
        <f>SUM(AA2:AA36)</f>
        <v>-2077594.9800000004</v>
      </c>
      <c r="AB37" s="11">
        <f>SUM(AB2:AB36)</f>
        <v>613513.90999999992</v>
      </c>
    </row>
  </sheetData>
  <autoFilter ref="A1:AF37" xr:uid="{00000000-0001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4CD6-5F38-45D1-BAFD-BF6BB90DE942}">
  <dimension ref="A1:E5"/>
  <sheetViews>
    <sheetView showGridLines="0" workbookViewId="0">
      <selection activeCell="E1" sqref="E1"/>
    </sheetView>
  </sheetViews>
  <sheetFormatPr defaultRowHeight="15" x14ac:dyDescent="0.25"/>
  <cols>
    <col min="1" max="1" width="44" bestFit="1" customWidth="1"/>
    <col min="2" max="2" width="11.42578125" style="15" customWidth="1"/>
    <col min="3" max="3" width="13.28515625" style="8" bestFit="1" customWidth="1"/>
    <col min="4" max="4" width="16.28515625" style="8" bestFit="1" customWidth="1"/>
    <col min="5" max="5" width="14.85546875" style="8" bestFit="1" customWidth="1"/>
  </cols>
  <sheetData>
    <row r="1" spans="1:5" x14ac:dyDescent="0.25">
      <c r="A1" s="12" t="s">
        <v>242</v>
      </c>
      <c r="B1" s="14" t="s">
        <v>244</v>
      </c>
      <c r="C1" s="13" t="s">
        <v>206</v>
      </c>
      <c r="D1" s="13" t="s">
        <v>204</v>
      </c>
      <c r="E1" s="13" t="s">
        <v>245</v>
      </c>
    </row>
    <row r="2" spans="1:5" x14ac:dyDescent="0.25">
      <c r="A2" s="16" t="s">
        <v>202</v>
      </c>
      <c r="B2" s="17">
        <v>21</v>
      </c>
      <c r="C2" s="18">
        <v>2508420.2899999996</v>
      </c>
      <c r="D2" s="18">
        <v>-1971862.7700000003</v>
      </c>
      <c r="E2" s="18">
        <v>536557.52</v>
      </c>
    </row>
    <row r="3" spans="1:5" x14ac:dyDescent="0.25">
      <c r="A3" t="s">
        <v>203</v>
      </c>
      <c r="B3" s="15">
        <v>13</v>
      </c>
      <c r="C3" s="8">
        <v>173008.6</v>
      </c>
      <c r="D3" s="8">
        <v>-99924.210000000021</v>
      </c>
      <c r="E3" s="8">
        <v>73084.389999999985</v>
      </c>
    </row>
    <row r="4" spans="1:5" x14ac:dyDescent="0.25">
      <c r="A4" t="s">
        <v>241</v>
      </c>
      <c r="B4" s="15">
        <v>1</v>
      </c>
      <c r="C4" s="8">
        <v>9680</v>
      </c>
      <c r="D4" s="8">
        <v>-5808</v>
      </c>
      <c r="E4" s="8">
        <v>3872</v>
      </c>
    </row>
    <row r="5" spans="1:5" x14ac:dyDescent="0.25">
      <c r="A5" s="12" t="s">
        <v>243</v>
      </c>
      <c r="B5" s="14">
        <v>35</v>
      </c>
      <c r="C5" s="13">
        <v>2691108.8899999997</v>
      </c>
      <c r="D5" s="13">
        <v>-2077594.9800000004</v>
      </c>
      <c r="E5" s="13">
        <v>613513.90999999992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RESUMO</vt:lpstr>
    </vt:vector>
  </TitlesOfParts>
  <Company>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Teles De Araujo</dc:creator>
  <cp:lastModifiedBy>Nascimento de Sa, Fabiano Nascimento De</cp:lastModifiedBy>
  <dcterms:created xsi:type="dcterms:W3CDTF">2024-12-24T17:58:37Z</dcterms:created>
  <dcterms:modified xsi:type="dcterms:W3CDTF">2024-12-26T19:47:30Z</dcterms:modified>
</cp:coreProperties>
</file>