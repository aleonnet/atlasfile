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https://d.docs.live.net/f43270e39eaaf1d1/Área de Trabalho/Twist/"/>
    </mc:Choice>
  </mc:AlternateContent>
  <xr:revisionPtr revIDLastSave="3" documentId="11_F362643B04F300F5ADE044D9967FC848220C7DFE" xr6:coauthVersionLast="47" xr6:coauthVersionMax="47" xr10:uidLastSave="{13181C4E-9F05-A949-887E-CDFB11E256B1}"/>
  <bookViews>
    <workbookView xWindow="0" yWindow="500" windowWidth="25620" windowHeight="17140" tabRatio="862" xr2:uid="{00000000-000D-0000-FFFF-FFFF00000000}"/>
  </bookViews>
  <sheets>
    <sheet name="Mapa de Estrutura" sheetId="5" r:id="rId1"/>
  </sheets>
  <externalReferences>
    <externalReference r:id="rId2"/>
  </externalReferences>
  <definedNames>
    <definedName name="_xlnm._FilterDatabase" localSheetId="0" hidden="1">'Mapa de Estrutura'!$A$1:$S$327</definedName>
    <definedName name="a" localSheetId="0">'Mapa de Estrutura'!#REF!</definedName>
    <definedName name="a">'[1]Mapa de Estrutura - Prévia'!#REF!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5" l="1"/>
  <c r="E4" i="5" s="1"/>
  <c r="F4" i="5"/>
  <c r="G4" i="5" s="1"/>
  <c r="H4" i="5" s="1"/>
  <c r="I4" i="5" s="1"/>
  <c r="J4" i="5" s="1"/>
  <c r="E5" i="5"/>
  <c r="E6" i="5" s="1"/>
  <c r="F5" i="5"/>
  <c r="G5" i="5"/>
  <c r="H5" i="5" s="1"/>
  <c r="I5" i="5" s="1"/>
  <c r="J5" i="5" s="1"/>
  <c r="F6" i="5"/>
  <c r="G6" i="5" s="1"/>
  <c r="H6" i="5" s="1"/>
  <c r="I6" i="5" s="1"/>
  <c r="J6" i="5" s="1"/>
  <c r="E7" i="5"/>
  <c r="E8" i="5" s="1"/>
  <c r="E9" i="5" s="1"/>
  <c r="E10" i="5" s="1"/>
  <c r="E11" i="5" s="1"/>
  <c r="E12" i="5" s="1"/>
  <c r="E13" i="5" s="1"/>
  <c r="E14" i="5" s="1"/>
  <c r="F8" i="5"/>
  <c r="F9" i="5" s="1"/>
  <c r="F10" i="5" s="1"/>
  <c r="F11" i="5" s="1"/>
  <c r="G9" i="5"/>
  <c r="H9" i="5" s="1"/>
  <c r="I9" i="5" s="1"/>
  <c r="J9" i="5" s="1"/>
  <c r="G10" i="5"/>
  <c r="H10" i="5" s="1"/>
  <c r="I10" i="5" s="1"/>
  <c r="J10" i="5" s="1"/>
  <c r="G11" i="5"/>
  <c r="H11" i="5" s="1"/>
  <c r="I11" i="5" s="1"/>
  <c r="J11" i="5" s="1"/>
  <c r="F12" i="5"/>
  <c r="F13" i="5" s="1"/>
  <c r="G13" i="5"/>
  <c r="H13" i="5" s="1"/>
  <c r="I13" i="5" s="1"/>
  <c r="J13" i="5" s="1"/>
  <c r="F14" i="5"/>
  <c r="G14" i="5" s="1"/>
  <c r="H14" i="5" s="1"/>
  <c r="I14" i="5" s="1"/>
  <c r="J14" i="5" s="1"/>
  <c r="E15" i="5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F16" i="5"/>
  <c r="F17" i="5" s="1"/>
  <c r="G17" i="5"/>
  <c r="H17" i="5" s="1"/>
  <c r="I17" i="5" s="1"/>
  <c r="J17" i="5" s="1"/>
  <c r="F18" i="5"/>
  <c r="G18" i="5" s="1"/>
  <c r="H18" i="5" s="1"/>
  <c r="I18" i="5" s="1"/>
  <c r="J18" i="5" s="1"/>
  <c r="G19" i="5"/>
  <c r="H19" i="5" s="1"/>
  <c r="I19" i="5" s="1"/>
  <c r="J19" i="5" s="1"/>
  <c r="G20" i="5"/>
  <c r="H20" i="5" s="1"/>
  <c r="I20" i="5" s="1"/>
  <c r="J20" i="5" s="1"/>
  <c r="H21" i="5"/>
  <c r="I21" i="5" s="1"/>
  <c r="J21" i="5" s="1"/>
  <c r="H22" i="5"/>
  <c r="I22" i="5" s="1"/>
  <c r="J22" i="5" s="1"/>
  <c r="G23" i="5"/>
  <c r="H23" i="5" s="1"/>
  <c r="I23" i="5" s="1"/>
  <c r="J23" i="5" s="1"/>
  <c r="G24" i="5"/>
  <c r="H24" i="5" s="1"/>
  <c r="I24" i="5" s="1"/>
  <c r="J24" i="5" s="1"/>
  <c r="G25" i="5"/>
  <c r="H25" i="5" s="1"/>
  <c r="I25" i="5" s="1"/>
  <c r="J25" i="5" s="1"/>
  <c r="G26" i="5"/>
  <c r="H26" i="5" s="1"/>
  <c r="I26" i="5" s="1"/>
  <c r="J26" i="5" s="1"/>
  <c r="G27" i="5"/>
  <c r="H27" i="5"/>
  <c r="I27" i="5" s="1"/>
  <c r="J27" i="5" s="1"/>
  <c r="F28" i="5"/>
  <c r="F29" i="5" s="1"/>
  <c r="F30" i="5" s="1"/>
  <c r="F31" i="5" s="1"/>
  <c r="F32" i="5" s="1"/>
  <c r="F33" i="5" s="1"/>
  <c r="F34" i="5" s="1"/>
  <c r="F35" i="5" s="1"/>
  <c r="F36" i="5" s="1"/>
  <c r="G29" i="5"/>
  <c r="H29" i="5" s="1"/>
  <c r="I29" i="5" s="1"/>
  <c r="J29" i="5" s="1"/>
  <c r="G30" i="5"/>
  <c r="H30" i="5"/>
  <c r="I30" i="5" s="1"/>
  <c r="J30" i="5" s="1"/>
  <c r="G31" i="5"/>
  <c r="H31" i="5" s="1"/>
  <c r="I31" i="5" s="1"/>
  <c r="J31" i="5" s="1"/>
  <c r="G32" i="5"/>
  <c r="H32" i="5" s="1"/>
  <c r="I32" i="5" s="1"/>
  <c r="J32" i="5" s="1"/>
  <c r="H33" i="5"/>
  <c r="I33" i="5" s="1"/>
  <c r="J33" i="5" s="1"/>
  <c r="G34" i="5"/>
  <c r="H34" i="5"/>
  <c r="I34" i="5" s="1"/>
  <c r="J34" i="5" s="1"/>
  <c r="G35" i="5"/>
  <c r="G36" i="5" s="1"/>
  <c r="H35" i="5"/>
  <c r="I35" i="5"/>
  <c r="J35" i="5" s="1"/>
  <c r="H36" i="5"/>
  <c r="I36" i="5" s="1"/>
  <c r="J36" i="5" s="1"/>
  <c r="F37" i="5"/>
  <c r="G37" i="5" s="1"/>
  <c r="H37" i="5" s="1"/>
  <c r="I37" i="5" s="1"/>
  <c r="J37" i="5" s="1"/>
  <c r="G38" i="5"/>
  <c r="H38" i="5" s="1"/>
  <c r="I38" i="5" s="1"/>
  <c r="J38" i="5" s="1"/>
  <c r="G39" i="5"/>
  <c r="H39" i="5" s="1"/>
  <c r="I39" i="5" s="1"/>
  <c r="J39" i="5" s="1"/>
  <c r="G40" i="5"/>
  <c r="H40" i="5" s="1"/>
  <c r="I40" i="5" s="1"/>
  <c r="J40" i="5" s="1"/>
  <c r="F41" i="5"/>
  <c r="F42" i="5" s="1"/>
  <c r="F43" i="5" s="1"/>
  <c r="F44" i="5" s="1"/>
  <c r="F45" i="5" s="1"/>
  <c r="F46" i="5" s="1"/>
  <c r="F47" i="5" s="1"/>
  <c r="G42" i="5"/>
  <c r="H42" i="5" s="1"/>
  <c r="I42" i="5" s="1"/>
  <c r="J42" i="5" s="1"/>
  <c r="G43" i="5"/>
  <c r="H43" i="5" s="1"/>
  <c r="I43" i="5" s="1"/>
  <c r="J43" i="5" s="1"/>
  <c r="G44" i="5"/>
  <c r="H44" i="5"/>
  <c r="I44" i="5" s="1"/>
  <c r="J44" i="5" s="1"/>
  <c r="G45" i="5"/>
  <c r="H45" i="5" s="1"/>
  <c r="I45" i="5" s="1"/>
  <c r="J45" i="5" s="1"/>
  <c r="G46" i="5"/>
  <c r="H46" i="5" s="1"/>
  <c r="I46" i="5" s="1"/>
  <c r="J46" i="5" s="1"/>
  <c r="G47" i="5"/>
  <c r="H47" i="5" s="1"/>
  <c r="I47" i="5" s="1"/>
  <c r="J47" i="5" s="1"/>
  <c r="E48" i="5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F49" i="5"/>
  <c r="G49" i="5" s="1"/>
  <c r="H49" i="5" s="1"/>
  <c r="I49" i="5" s="1"/>
  <c r="J49" i="5" s="1"/>
  <c r="G50" i="5"/>
  <c r="H50" i="5"/>
  <c r="I50" i="5" s="1"/>
  <c r="J50" i="5" s="1"/>
  <c r="G51" i="5"/>
  <c r="H51" i="5" s="1"/>
  <c r="I51" i="5" s="1"/>
  <c r="J51" i="5" s="1"/>
  <c r="G52" i="5"/>
  <c r="H52" i="5" s="1"/>
  <c r="I52" i="5" s="1"/>
  <c r="J52" i="5" s="1"/>
  <c r="F53" i="5"/>
  <c r="G53" i="5" s="1"/>
  <c r="H53" i="5" s="1"/>
  <c r="I53" i="5" s="1"/>
  <c r="J53" i="5" s="1"/>
  <c r="G54" i="5"/>
  <c r="H54" i="5" s="1"/>
  <c r="I54" i="5" s="1"/>
  <c r="J54" i="5" s="1"/>
  <c r="G55" i="5"/>
  <c r="H55" i="5" s="1"/>
  <c r="I55" i="5" s="1"/>
  <c r="J55" i="5" s="1"/>
  <c r="G56" i="5"/>
  <c r="H56" i="5" s="1"/>
  <c r="I56" i="5" s="1"/>
  <c r="J56" i="5" s="1"/>
  <c r="F57" i="5"/>
  <c r="F58" i="5" s="1"/>
  <c r="F59" i="5" s="1"/>
  <c r="G57" i="5"/>
  <c r="H57" i="5" s="1"/>
  <c r="I57" i="5" s="1"/>
  <c r="J57" i="5" s="1"/>
  <c r="G58" i="5"/>
  <c r="H58" i="5" s="1"/>
  <c r="I58" i="5" s="1"/>
  <c r="J58" i="5" s="1"/>
  <c r="G59" i="5"/>
  <c r="H59" i="5" s="1"/>
  <c r="I59" i="5" s="1"/>
  <c r="J59" i="5" s="1"/>
  <c r="F60" i="5"/>
  <c r="G60" i="5" s="1"/>
  <c r="H60" i="5" s="1"/>
  <c r="I60" i="5" s="1"/>
  <c r="J60" i="5" s="1"/>
  <c r="E61" i="5"/>
  <c r="F62" i="5"/>
  <c r="G63" i="5"/>
  <c r="H63" i="5" s="1"/>
  <c r="I63" i="5" s="1"/>
  <c r="J63" i="5" s="1"/>
  <c r="G64" i="5"/>
  <c r="H64" i="5" s="1"/>
  <c r="I64" i="5" s="1"/>
  <c r="J64" i="5" s="1"/>
  <c r="G65" i="5"/>
  <c r="H65" i="5" s="1"/>
  <c r="I65" i="5" s="1"/>
  <c r="J65" i="5" s="1"/>
  <c r="F66" i="5"/>
  <c r="F67" i="5" s="1"/>
  <c r="F68" i="5" s="1"/>
  <c r="G67" i="5"/>
  <c r="H67" i="5" s="1"/>
  <c r="I67" i="5" s="1"/>
  <c r="J67" i="5" s="1"/>
  <c r="G68" i="5"/>
  <c r="H68" i="5"/>
  <c r="I68" i="5" s="1"/>
  <c r="J68" i="5" s="1"/>
  <c r="F69" i="5"/>
  <c r="F70" i="5" s="1"/>
  <c r="F71" i="5" s="1"/>
  <c r="F72" i="5" s="1"/>
  <c r="G69" i="5"/>
  <c r="H69" i="5" s="1"/>
  <c r="I69" i="5" s="1"/>
  <c r="J69" i="5" s="1"/>
  <c r="G70" i="5"/>
  <c r="H70" i="5"/>
  <c r="I70" i="5" s="1"/>
  <c r="J70" i="5" s="1"/>
  <c r="G71" i="5"/>
  <c r="H71" i="5" s="1"/>
  <c r="I71" i="5" s="1"/>
  <c r="J71" i="5" s="1"/>
  <c r="G72" i="5"/>
  <c r="H72" i="5" s="1"/>
  <c r="I72" i="5" s="1"/>
  <c r="J72" i="5" s="1"/>
  <c r="F73" i="5"/>
  <c r="G73" i="5" s="1"/>
  <c r="H73" i="5" s="1"/>
  <c r="I73" i="5" s="1"/>
  <c r="J73" i="5" s="1"/>
  <c r="F74" i="5"/>
  <c r="F75" i="5" s="1"/>
  <c r="G74" i="5"/>
  <c r="H74" i="5" s="1"/>
  <c r="I74" i="5" s="1"/>
  <c r="J74" i="5" s="1"/>
  <c r="G75" i="5"/>
  <c r="H75" i="5" s="1"/>
  <c r="I75" i="5" s="1"/>
  <c r="J75" i="5" s="1"/>
  <c r="E76" i="5"/>
  <c r="F76" i="5" s="1"/>
  <c r="G76" i="5" s="1"/>
  <c r="H76" i="5" s="1"/>
  <c r="I76" i="5" s="1"/>
  <c r="J76" i="5" s="1"/>
  <c r="F77" i="5"/>
  <c r="G77" i="5" s="1"/>
  <c r="H77" i="5" s="1"/>
  <c r="I77" i="5" s="1"/>
  <c r="J77" i="5" s="1"/>
  <c r="G78" i="5"/>
  <c r="H78" i="5" s="1"/>
  <c r="I78" i="5" s="1"/>
  <c r="J78" i="5" s="1"/>
  <c r="G79" i="5"/>
  <c r="H79" i="5" s="1"/>
  <c r="I79" i="5" s="1"/>
  <c r="J79" i="5" s="1"/>
  <c r="F80" i="5"/>
  <c r="F81" i="5" s="1"/>
  <c r="F82" i="5" s="1"/>
  <c r="F83" i="5" s="1"/>
  <c r="G81" i="5"/>
  <c r="H81" i="5" s="1"/>
  <c r="I81" i="5" s="1"/>
  <c r="J81" i="5" s="1"/>
  <c r="G82" i="5"/>
  <c r="H82" i="5" s="1"/>
  <c r="I82" i="5" s="1"/>
  <c r="J82" i="5" s="1"/>
  <c r="G83" i="5"/>
  <c r="H83" i="5" s="1"/>
  <c r="I83" i="5" s="1"/>
  <c r="J83" i="5" s="1"/>
  <c r="F84" i="5"/>
  <c r="F85" i="5" s="1"/>
  <c r="F86" i="5" s="1"/>
  <c r="F87" i="5" s="1"/>
  <c r="G85" i="5"/>
  <c r="H85" i="5" s="1"/>
  <c r="I85" i="5" s="1"/>
  <c r="J85" i="5" s="1"/>
  <c r="G86" i="5"/>
  <c r="H86" i="5"/>
  <c r="I86" i="5" s="1"/>
  <c r="J86" i="5" s="1"/>
  <c r="G87" i="5"/>
  <c r="H87" i="5" s="1"/>
  <c r="I87" i="5" s="1"/>
  <c r="J87" i="5" s="1"/>
  <c r="F88" i="5"/>
  <c r="F89" i="5" s="1"/>
  <c r="G89" i="5"/>
  <c r="H89" i="5" s="1"/>
  <c r="I89" i="5" s="1"/>
  <c r="J89" i="5" s="1"/>
  <c r="E90" i="5"/>
  <c r="F90" i="5" s="1"/>
  <c r="G90" i="5" s="1"/>
  <c r="H90" i="5" s="1"/>
  <c r="I90" i="5" s="1"/>
  <c r="J90" i="5" s="1"/>
  <c r="E91" i="5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F92" i="5"/>
  <c r="F93" i="5" s="1"/>
  <c r="F94" i="5" s="1"/>
  <c r="F95" i="5" s="1"/>
  <c r="F96" i="5" s="1"/>
  <c r="F97" i="5" s="1"/>
  <c r="F98" i="5" s="1"/>
  <c r="F99" i="5" s="1"/>
  <c r="G93" i="5"/>
  <c r="H93" i="5" s="1"/>
  <c r="I93" i="5" s="1"/>
  <c r="J93" i="5" s="1"/>
  <c r="G94" i="5"/>
  <c r="H94" i="5" s="1"/>
  <c r="I94" i="5" s="1"/>
  <c r="J94" i="5" s="1"/>
  <c r="G95" i="5"/>
  <c r="H95" i="5" s="1"/>
  <c r="I95" i="5" s="1"/>
  <c r="J95" i="5" s="1"/>
  <c r="G96" i="5"/>
  <c r="H96" i="5" s="1"/>
  <c r="I96" i="5" s="1"/>
  <c r="J96" i="5" s="1"/>
  <c r="G97" i="5"/>
  <c r="H97" i="5" s="1"/>
  <c r="I97" i="5" s="1"/>
  <c r="J97" i="5" s="1"/>
  <c r="G98" i="5"/>
  <c r="H98" i="5"/>
  <c r="I98" i="5" s="1"/>
  <c r="J98" i="5" s="1"/>
  <c r="G99" i="5"/>
  <c r="H99" i="5" s="1"/>
  <c r="I99" i="5" s="1"/>
  <c r="J99" i="5" s="1"/>
  <c r="F100" i="5"/>
  <c r="G100" i="5" s="1"/>
  <c r="H100" i="5" s="1"/>
  <c r="I100" i="5" s="1"/>
  <c r="J100" i="5" s="1"/>
  <c r="F101" i="5"/>
  <c r="G101" i="5" s="1"/>
  <c r="H101" i="5" s="1"/>
  <c r="I101" i="5" s="1"/>
  <c r="J101" i="5" s="1"/>
  <c r="G102" i="5"/>
  <c r="H102" i="5" s="1"/>
  <c r="I102" i="5" s="1"/>
  <c r="J102" i="5" s="1"/>
  <c r="G103" i="5"/>
  <c r="H103" i="5" s="1"/>
  <c r="I103" i="5" s="1"/>
  <c r="J103" i="5" s="1"/>
  <c r="F104" i="5"/>
  <c r="F105" i="5" s="1"/>
  <c r="F106" i="5" s="1"/>
  <c r="F107" i="5" s="1"/>
  <c r="F108" i="5" s="1"/>
  <c r="F109" i="5" s="1"/>
  <c r="F110" i="5" s="1"/>
  <c r="F111" i="5" s="1"/>
  <c r="F112" i="5" s="1"/>
  <c r="F113" i="5" s="1"/>
  <c r="F114" i="5" s="1"/>
  <c r="F115" i="5" s="1"/>
  <c r="F116" i="5" s="1"/>
  <c r="F117" i="5" s="1"/>
  <c r="G105" i="5"/>
  <c r="G106" i="5" s="1"/>
  <c r="G107" i="5" s="1"/>
  <c r="G108" i="5" s="1"/>
  <c r="G109" i="5" s="1"/>
  <c r="H106" i="5"/>
  <c r="I106" i="5" s="1"/>
  <c r="J106" i="5" s="1"/>
  <c r="H107" i="5"/>
  <c r="I107" i="5" s="1"/>
  <c r="J107" i="5" s="1"/>
  <c r="H108" i="5"/>
  <c r="I108" i="5" s="1"/>
  <c r="J108" i="5" s="1"/>
  <c r="H109" i="5"/>
  <c r="I109" i="5" s="1"/>
  <c r="J109" i="5" s="1"/>
  <c r="G110" i="5"/>
  <c r="H110" i="5" s="1"/>
  <c r="I110" i="5" s="1"/>
  <c r="J110" i="5" s="1"/>
  <c r="H111" i="5"/>
  <c r="I111" i="5" s="1"/>
  <c r="J111" i="5" s="1"/>
  <c r="H112" i="5"/>
  <c r="I112" i="5" s="1"/>
  <c r="J112" i="5" s="1"/>
  <c r="H113" i="5"/>
  <c r="I113" i="5" s="1"/>
  <c r="J113" i="5" s="1"/>
  <c r="G114" i="5"/>
  <c r="H114" i="5" s="1"/>
  <c r="I114" i="5" s="1"/>
  <c r="J114" i="5" s="1"/>
  <c r="H115" i="5"/>
  <c r="I115" i="5" s="1"/>
  <c r="J115" i="5" s="1"/>
  <c r="H116" i="5"/>
  <c r="I116" i="5" s="1"/>
  <c r="J116" i="5" s="1"/>
  <c r="G117" i="5"/>
  <c r="H117" i="5" s="1"/>
  <c r="I117" i="5" s="1"/>
  <c r="J117" i="5" s="1"/>
  <c r="F118" i="5"/>
  <c r="F119" i="5" s="1"/>
  <c r="F120" i="5" s="1"/>
  <c r="F121" i="5" s="1"/>
  <c r="G119" i="5"/>
  <c r="H119" i="5" s="1"/>
  <c r="I119" i="5" s="1"/>
  <c r="J119" i="5" s="1"/>
  <c r="G120" i="5"/>
  <c r="H120" i="5" s="1"/>
  <c r="I120" i="5" s="1"/>
  <c r="J120" i="5" s="1"/>
  <c r="G121" i="5"/>
  <c r="H121" i="5" s="1"/>
  <c r="I121" i="5" s="1"/>
  <c r="J121" i="5" s="1"/>
  <c r="E122" i="5"/>
  <c r="F122" i="5" s="1"/>
  <c r="G122" i="5" s="1"/>
  <c r="H122" i="5" s="1"/>
  <c r="I122" i="5" s="1"/>
  <c r="J122" i="5" s="1"/>
  <c r="F123" i="5"/>
  <c r="G123" i="5"/>
  <c r="H123" i="5" s="1"/>
  <c r="I123" i="5" s="1"/>
  <c r="J123" i="5" s="1"/>
  <c r="F124" i="5"/>
  <c r="F125" i="5" s="1"/>
  <c r="F126" i="5" s="1"/>
  <c r="F127" i="5" s="1"/>
  <c r="G124" i="5"/>
  <c r="H124" i="5" s="1"/>
  <c r="I124" i="5" s="1"/>
  <c r="J124" i="5" s="1"/>
  <c r="G125" i="5"/>
  <c r="H125" i="5" s="1"/>
  <c r="I125" i="5" s="1"/>
  <c r="J125" i="5" s="1"/>
  <c r="G126" i="5"/>
  <c r="H126" i="5" s="1"/>
  <c r="I126" i="5" s="1"/>
  <c r="J126" i="5" s="1"/>
  <c r="G127" i="5"/>
  <c r="H127" i="5" s="1"/>
  <c r="I127" i="5" s="1"/>
  <c r="J127" i="5" s="1"/>
  <c r="F128" i="5"/>
  <c r="G128" i="5" s="1"/>
  <c r="H128" i="5" s="1"/>
  <c r="I128" i="5" s="1"/>
  <c r="J128" i="5" s="1"/>
  <c r="G129" i="5"/>
  <c r="H129" i="5" s="1"/>
  <c r="I129" i="5" s="1"/>
  <c r="J129" i="5" s="1"/>
  <c r="G130" i="5"/>
  <c r="H130" i="5" s="1"/>
  <c r="I130" i="5" s="1"/>
  <c r="J130" i="5" s="1"/>
  <c r="G131" i="5"/>
  <c r="G132" i="5" s="1"/>
  <c r="G133" i="5" s="1"/>
  <c r="H132" i="5"/>
  <c r="I132" i="5" s="1"/>
  <c r="J132" i="5" s="1"/>
  <c r="H133" i="5"/>
  <c r="I133" i="5" s="1"/>
  <c r="J133" i="5" s="1"/>
  <c r="G134" i="5"/>
  <c r="H134" i="5" s="1"/>
  <c r="I134" i="5" s="1"/>
  <c r="J134" i="5" s="1"/>
  <c r="G135" i="5"/>
  <c r="G136" i="5" s="1"/>
  <c r="H135" i="5"/>
  <c r="I135" i="5" s="1"/>
  <c r="J135" i="5" s="1"/>
  <c r="H136" i="5"/>
  <c r="I136" i="5" s="1"/>
  <c r="J136" i="5" s="1"/>
  <c r="G137" i="5"/>
  <c r="H137" i="5" s="1"/>
  <c r="I137" i="5" s="1"/>
  <c r="J137" i="5" s="1"/>
  <c r="H138" i="5"/>
  <c r="I138" i="5" s="1"/>
  <c r="J138" i="5" s="1"/>
  <c r="F139" i="5"/>
  <c r="G139" i="5" s="1"/>
  <c r="H139" i="5" s="1"/>
  <c r="I139" i="5" s="1"/>
  <c r="J139" i="5" s="1"/>
  <c r="G140" i="5"/>
  <c r="H140" i="5" s="1"/>
  <c r="I140" i="5" s="1"/>
  <c r="J140" i="5" s="1"/>
  <c r="G141" i="5"/>
  <c r="H141" i="5"/>
  <c r="I141" i="5" s="1"/>
  <c r="J141" i="5" s="1"/>
  <c r="G142" i="5"/>
  <c r="G143" i="5" s="1"/>
  <c r="G144" i="5" s="1"/>
  <c r="H142" i="5"/>
  <c r="I142" i="5" s="1"/>
  <c r="J142" i="5" s="1"/>
  <c r="H143" i="5"/>
  <c r="I143" i="5" s="1"/>
  <c r="J143" i="5" s="1"/>
  <c r="H144" i="5"/>
  <c r="I144" i="5" s="1"/>
  <c r="J144" i="5" s="1"/>
  <c r="G145" i="5"/>
  <c r="H145" i="5" s="1"/>
  <c r="I145" i="5" s="1"/>
  <c r="J145" i="5" s="1"/>
  <c r="H146" i="5"/>
  <c r="I146" i="5" s="1"/>
  <c r="J146" i="5" s="1"/>
  <c r="H147" i="5"/>
  <c r="I147" i="5" s="1"/>
  <c r="J147" i="5" s="1"/>
  <c r="H148" i="5"/>
  <c r="I148" i="5" s="1"/>
  <c r="J148" i="5" s="1"/>
  <c r="H149" i="5"/>
  <c r="I149" i="5" s="1"/>
  <c r="J149" i="5" s="1"/>
  <c r="H150" i="5"/>
  <c r="I150" i="5" s="1"/>
  <c r="J150" i="5" s="1"/>
  <c r="H151" i="5"/>
  <c r="I151" i="5" s="1"/>
  <c r="J151" i="5" s="1"/>
  <c r="G152" i="5"/>
  <c r="G153" i="5" s="1"/>
  <c r="G154" i="5" s="1"/>
  <c r="G155" i="5" s="1"/>
  <c r="G156" i="5" s="1"/>
  <c r="H152" i="5"/>
  <c r="I152" i="5" s="1"/>
  <c r="J152" i="5" s="1"/>
  <c r="H153" i="5"/>
  <c r="I153" i="5" s="1"/>
  <c r="J153" i="5" s="1"/>
  <c r="H154" i="5"/>
  <c r="I154" i="5" s="1"/>
  <c r="J154" i="5" s="1"/>
  <c r="H155" i="5"/>
  <c r="I155" i="5" s="1"/>
  <c r="J155" i="5" s="1"/>
  <c r="H156" i="5"/>
  <c r="I156" i="5" s="1"/>
  <c r="J156" i="5" s="1"/>
  <c r="F157" i="5"/>
  <c r="G157" i="5" s="1"/>
  <c r="H157" i="5" s="1"/>
  <c r="I157" i="5" s="1"/>
  <c r="J157" i="5" s="1"/>
  <c r="G158" i="5"/>
  <c r="H158" i="5" s="1"/>
  <c r="I158" i="5" s="1"/>
  <c r="J158" i="5" s="1"/>
  <c r="G159" i="5"/>
  <c r="H159" i="5"/>
  <c r="I159" i="5" s="1"/>
  <c r="J159" i="5" s="1"/>
  <c r="G160" i="5"/>
  <c r="H160" i="5" s="1"/>
  <c r="I160" i="5" s="1"/>
  <c r="J160" i="5" s="1"/>
  <c r="G161" i="5"/>
  <c r="H161" i="5" s="1"/>
  <c r="I161" i="5"/>
  <c r="J161" i="5" s="1"/>
  <c r="G162" i="5"/>
  <c r="H162" i="5" s="1"/>
  <c r="I162" i="5" s="1"/>
  <c r="J162" i="5"/>
  <c r="G163" i="5"/>
  <c r="H163" i="5" s="1"/>
  <c r="I163" i="5" s="1"/>
  <c r="J163" i="5" s="1"/>
  <c r="G164" i="5"/>
  <c r="H164" i="5" s="1"/>
  <c r="I164" i="5" s="1"/>
  <c r="J164" i="5" s="1"/>
  <c r="G165" i="5"/>
  <c r="H165" i="5" s="1"/>
  <c r="I165" i="5" s="1"/>
  <c r="J165" i="5" s="1"/>
  <c r="G166" i="5"/>
  <c r="H166" i="5" s="1"/>
  <c r="I166" i="5" s="1"/>
  <c r="J166" i="5" s="1"/>
  <c r="F167" i="5"/>
  <c r="G167" i="5" s="1"/>
  <c r="H167" i="5" s="1"/>
  <c r="I167" i="5" s="1"/>
  <c r="J167" i="5" s="1"/>
  <c r="G168" i="5"/>
  <c r="H168" i="5" s="1"/>
  <c r="I168" i="5" s="1"/>
  <c r="J168" i="5" s="1"/>
  <c r="G169" i="5"/>
  <c r="H169" i="5" s="1"/>
  <c r="I169" i="5" s="1"/>
  <c r="J169" i="5" s="1"/>
  <c r="G170" i="5"/>
  <c r="H170" i="5" s="1"/>
  <c r="I170" i="5" s="1"/>
  <c r="J170" i="5" s="1"/>
  <c r="G171" i="5"/>
  <c r="H171" i="5" s="1"/>
  <c r="I171" i="5" s="1"/>
  <c r="J171" i="5" s="1"/>
  <c r="G172" i="5"/>
  <c r="H172" i="5" s="1"/>
  <c r="I172" i="5" s="1"/>
  <c r="J172" i="5" s="1"/>
  <c r="G173" i="5"/>
  <c r="H173" i="5" s="1"/>
  <c r="I173" i="5" s="1"/>
  <c r="J173" i="5" s="1"/>
  <c r="G174" i="5"/>
  <c r="H174" i="5" s="1"/>
  <c r="I174" i="5" s="1"/>
  <c r="J174" i="5" s="1"/>
  <c r="F175" i="5"/>
  <c r="G175" i="5" s="1"/>
  <c r="H175" i="5" s="1"/>
  <c r="I175" i="5" s="1"/>
  <c r="J175" i="5" s="1"/>
  <c r="F176" i="5"/>
  <c r="G176" i="5" s="1"/>
  <c r="H176" i="5" s="1"/>
  <c r="I176" i="5" s="1"/>
  <c r="J176" i="5" s="1"/>
  <c r="F177" i="5"/>
  <c r="G177" i="5" s="1"/>
  <c r="H177" i="5" s="1"/>
  <c r="I177" i="5" s="1"/>
  <c r="J177" i="5" s="1"/>
  <c r="E178" i="5"/>
  <c r="F178" i="5" s="1"/>
  <c r="G178" i="5" s="1"/>
  <c r="H178" i="5" s="1"/>
  <c r="I178" i="5" s="1"/>
  <c r="J178" i="5" s="1"/>
  <c r="F179" i="5"/>
  <c r="F180" i="5" s="1"/>
  <c r="F181" i="5" s="1"/>
  <c r="G180" i="5"/>
  <c r="H180" i="5" s="1"/>
  <c r="I180" i="5" s="1"/>
  <c r="J180" i="5" s="1"/>
  <c r="G181" i="5"/>
  <c r="H181" i="5" s="1"/>
  <c r="I181" i="5" s="1"/>
  <c r="J181" i="5" s="1"/>
  <c r="F182" i="5"/>
  <c r="F183" i="5" s="1"/>
  <c r="F184" i="5" s="1"/>
  <c r="F185" i="5" s="1"/>
  <c r="F186" i="5" s="1"/>
  <c r="G182" i="5"/>
  <c r="H182" i="5" s="1"/>
  <c r="I182" i="5" s="1"/>
  <c r="J182" i="5" s="1"/>
  <c r="G183" i="5"/>
  <c r="H183" i="5" s="1"/>
  <c r="I183" i="5" s="1"/>
  <c r="J183" i="5" s="1"/>
  <c r="G184" i="5"/>
  <c r="H184" i="5" s="1"/>
  <c r="I184" i="5" s="1"/>
  <c r="J184" i="5" s="1"/>
  <c r="G185" i="5"/>
  <c r="H185" i="5" s="1"/>
  <c r="I185" i="5" s="1"/>
  <c r="J185" i="5" s="1"/>
  <c r="G186" i="5"/>
  <c r="H186" i="5" s="1"/>
  <c r="I186" i="5" s="1"/>
  <c r="J186" i="5" s="1"/>
  <c r="F187" i="5"/>
  <c r="G187" i="5" s="1"/>
  <c r="H187" i="5" s="1"/>
  <c r="I187" i="5" s="1"/>
  <c r="J187" i="5" s="1"/>
  <c r="G188" i="5"/>
  <c r="H188" i="5" s="1"/>
  <c r="I188" i="5" s="1"/>
  <c r="J188" i="5" s="1"/>
  <c r="G189" i="5"/>
  <c r="H189" i="5" s="1"/>
  <c r="I189" i="5" s="1"/>
  <c r="J189" i="5" s="1"/>
  <c r="G190" i="5"/>
  <c r="H190" i="5" s="1"/>
  <c r="I190" i="5" s="1"/>
  <c r="J190" i="5" s="1"/>
  <c r="F191" i="5"/>
  <c r="G191" i="5" s="1"/>
  <c r="H191" i="5" s="1"/>
  <c r="I191" i="5" s="1"/>
  <c r="J191" i="5" s="1"/>
  <c r="G192" i="5"/>
  <c r="H192" i="5" s="1"/>
  <c r="I192" i="5" s="1"/>
  <c r="J192" i="5" s="1"/>
  <c r="G193" i="5"/>
  <c r="H193" i="5" s="1"/>
  <c r="I193" i="5" s="1"/>
  <c r="J193" i="5" s="1"/>
  <c r="H194" i="5"/>
  <c r="I194" i="5" s="1"/>
  <c r="J194" i="5" s="1"/>
  <c r="H195" i="5"/>
  <c r="I195" i="5" s="1"/>
  <c r="J195" i="5" s="1"/>
  <c r="G196" i="5"/>
  <c r="H196" i="5" s="1"/>
  <c r="I196" i="5" s="1"/>
  <c r="J196" i="5" s="1"/>
  <c r="H197" i="5"/>
  <c r="I197" i="5"/>
  <c r="J197" i="5" s="1"/>
  <c r="H198" i="5"/>
  <c r="I198" i="5" s="1"/>
  <c r="J198" i="5" s="1"/>
  <c r="F199" i="5"/>
  <c r="F200" i="5" s="1"/>
  <c r="F201" i="5" s="1"/>
  <c r="F202" i="5" s="1"/>
  <c r="F203" i="5" s="1"/>
  <c r="F204" i="5" s="1"/>
  <c r="G200" i="5"/>
  <c r="H200" i="5" s="1"/>
  <c r="I200" i="5" s="1"/>
  <c r="J200" i="5" s="1"/>
  <c r="G201" i="5"/>
  <c r="H201" i="5" s="1"/>
  <c r="I201" i="5" s="1"/>
  <c r="J201" i="5" s="1"/>
  <c r="G202" i="5"/>
  <c r="H202" i="5" s="1"/>
  <c r="I202" i="5" s="1"/>
  <c r="J202" i="5" s="1"/>
  <c r="H203" i="5"/>
  <c r="I203" i="5" s="1"/>
  <c r="J203" i="5" s="1"/>
  <c r="H204" i="5"/>
  <c r="I204" i="5" s="1"/>
  <c r="J204" i="5" s="1"/>
  <c r="F205" i="5"/>
  <c r="G205" i="5" s="1"/>
  <c r="H205" i="5" s="1"/>
  <c r="I205" i="5" s="1"/>
  <c r="J205" i="5" s="1"/>
  <c r="F206" i="5"/>
  <c r="F207" i="5" s="1"/>
  <c r="F208" i="5" s="1"/>
  <c r="F209" i="5" s="1"/>
  <c r="F210" i="5" s="1"/>
  <c r="F211" i="5" s="1"/>
  <c r="F212" i="5" s="1"/>
  <c r="F213" i="5" s="1"/>
  <c r="F214" i="5" s="1"/>
  <c r="F215" i="5" s="1"/>
  <c r="F216" i="5" s="1"/>
  <c r="F217" i="5" s="1"/>
  <c r="F218" i="5" s="1"/>
  <c r="F219" i="5" s="1"/>
  <c r="F220" i="5" s="1"/>
  <c r="F221" i="5" s="1"/>
  <c r="F222" i="5" s="1"/>
  <c r="F223" i="5" s="1"/>
  <c r="F224" i="5" s="1"/>
  <c r="F225" i="5" s="1"/>
  <c r="F226" i="5" s="1"/>
  <c r="F227" i="5" s="1"/>
  <c r="F228" i="5" s="1"/>
  <c r="G206" i="5"/>
  <c r="H206" i="5" s="1"/>
  <c r="I206" i="5" s="1"/>
  <c r="J206" i="5" s="1"/>
  <c r="H207" i="5"/>
  <c r="I207" i="5" s="1"/>
  <c r="J207" i="5" s="1"/>
  <c r="G208" i="5"/>
  <c r="H208" i="5"/>
  <c r="I208" i="5" s="1"/>
  <c r="J208" i="5" s="1"/>
  <c r="G209" i="5"/>
  <c r="G210" i="5" s="1"/>
  <c r="G211" i="5" s="1"/>
  <c r="H209" i="5"/>
  <c r="I209" i="5" s="1"/>
  <c r="J209" i="5" s="1"/>
  <c r="H210" i="5"/>
  <c r="I210" i="5" s="1"/>
  <c r="J210" i="5" s="1"/>
  <c r="H211" i="5"/>
  <c r="I211" i="5" s="1"/>
  <c r="J211" i="5" s="1"/>
  <c r="G212" i="5"/>
  <c r="H212" i="5" s="1"/>
  <c r="I212" i="5" s="1"/>
  <c r="J212" i="5" s="1"/>
  <c r="H213" i="5"/>
  <c r="I213" i="5" s="1"/>
  <c r="J213" i="5" s="1"/>
  <c r="H214" i="5"/>
  <c r="H215" i="5" s="1"/>
  <c r="H216" i="5" s="1"/>
  <c r="I215" i="5"/>
  <c r="J215" i="5" s="1"/>
  <c r="I216" i="5"/>
  <c r="J216" i="5" s="1"/>
  <c r="H217" i="5"/>
  <c r="H218" i="5" s="1"/>
  <c r="H219" i="5" s="1"/>
  <c r="H220" i="5" s="1"/>
  <c r="I217" i="5"/>
  <c r="J217" i="5" s="1"/>
  <c r="I218" i="5"/>
  <c r="J218" i="5" s="1"/>
  <c r="I219" i="5"/>
  <c r="J219" i="5" s="1"/>
  <c r="I220" i="5"/>
  <c r="J220" i="5" s="1"/>
  <c r="H221" i="5"/>
  <c r="H222" i="5" s="1"/>
  <c r="H223" i="5" s="1"/>
  <c r="H224" i="5" s="1"/>
  <c r="I222" i="5"/>
  <c r="J222" i="5" s="1"/>
  <c r="I223" i="5"/>
  <c r="J223" i="5" s="1"/>
  <c r="I224" i="5"/>
  <c r="J224" i="5"/>
  <c r="H225" i="5"/>
  <c r="I225" i="5" s="1"/>
  <c r="J225" i="5" s="1"/>
  <c r="H226" i="5"/>
  <c r="H227" i="5" s="1"/>
  <c r="H228" i="5" s="1"/>
  <c r="I226" i="5"/>
  <c r="J226" i="5" s="1"/>
  <c r="I227" i="5"/>
  <c r="J227" i="5" s="1"/>
  <c r="I228" i="5"/>
  <c r="J228" i="5" s="1"/>
  <c r="E229" i="5"/>
  <c r="F230" i="5"/>
  <c r="G231" i="5"/>
  <c r="H232" i="5"/>
  <c r="I232" i="5" s="1"/>
  <c r="J232" i="5" s="1"/>
  <c r="H233" i="5"/>
  <c r="I233" i="5" s="1"/>
  <c r="J233" i="5" s="1"/>
  <c r="H234" i="5"/>
  <c r="I234" i="5" s="1"/>
  <c r="J234" i="5" s="1"/>
  <c r="G235" i="5"/>
  <c r="H235" i="5" s="1"/>
  <c r="I235" i="5" s="1"/>
  <c r="J235" i="5" s="1"/>
  <c r="G236" i="5"/>
  <c r="H236" i="5" s="1"/>
  <c r="I236" i="5" s="1"/>
  <c r="J236" i="5" s="1"/>
  <c r="G237" i="5"/>
  <c r="G238" i="5" s="1"/>
  <c r="H238" i="5"/>
  <c r="I238" i="5" s="1"/>
  <c r="J238" i="5" s="1"/>
  <c r="G239" i="5"/>
  <c r="H239" i="5" s="1"/>
  <c r="I239" i="5" s="1"/>
  <c r="J239" i="5"/>
  <c r="G240" i="5"/>
  <c r="G241" i="5" s="1"/>
  <c r="G242" i="5" s="1"/>
  <c r="G243" i="5" s="1"/>
  <c r="G244" i="5" s="1"/>
  <c r="G245" i="5" s="1"/>
  <c r="H240" i="5"/>
  <c r="I240" i="5" s="1"/>
  <c r="J240" i="5" s="1"/>
  <c r="H241" i="5"/>
  <c r="I241" i="5" s="1"/>
  <c r="J241" i="5" s="1"/>
  <c r="H242" i="5"/>
  <c r="I242" i="5" s="1"/>
  <c r="J242" i="5" s="1"/>
  <c r="H243" i="5"/>
  <c r="I243" i="5" s="1"/>
  <c r="J243" i="5" s="1"/>
  <c r="H244" i="5"/>
  <c r="I244" i="5" s="1"/>
  <c r="J244" i="5" s="1"/>
  <c r="H245" i="5"/>
  <c r="I245" i="5" s="1"/>
  <c r="J245" i="5" s="1"/>
  <c r="F246" i="5"/>
  <c r="G247" i="5"/>
  <c r="H247" i="5" s="1"/>
  <c r="I247" i="5" s="1"/>
  <c r="J247" i="5" s="1"/>
  <c r="G248" i="5"/>
  <c r="H248" i="5" s="1"/>
  <c r="I248" i="5" s="1"/>
  <c r="J248" i="5" s="1"/>
  <c r="G249" i="5"/>
  <c r="H249" i="5" s="1"/>
  <c r="I249" i="5" s="1"/>
  <c r="J249" i="5" s="1"/>
  <c r="F250" i="5"/>
  <c r="G250" i="5" s="1"/>
  <c r="H250" i="5" s="1"/>
  <c r="I250" i="5" s="1"/>
  <c r="J250" i="5" s="1"/>
  <c r="G251" i="5"/>
  <c r="H251" i="5" s="1"/>
  <c r="I251" i="5" s="1"/>
  <c r="J251" i="5" s="1"/>
  <c r="H252" i="5"/>
  <c r="I252" i="5" s="1"/>
  <c r="J252" i="5" s="1"/>
  <c r="H253" i="5"/>
  <c r="I253" i="5" s="1"/>
  <c r="J253" i="5" s="1"/>
  <c r="H254" i="5"/>
  <c r="I254" i="5" s="1"/>
  <c r="J254" i="5" s="1"/>
  <c r="H255" i="5"/>
  <c r="I255" i="5"/>
  <c r="J255" i="5" s="1"/>
  <c r="G256" i="5"/>
  <c r="G257" i="5" s="1"/>
  <c r="G258" i="5" s="1"/>
  <c r="G259" i="5" s="1"/>
  <c r="G260" i="5" s="1"/>
  <c r="G261" i="5" s="1"/>
  <c r="G262" i="5" s="1"/>
  <c r="G263" i="5" s="1"/>
  <c r="G264" i="5" s="1"/>
  <c r="H257" i="5"/>
  <c r="I257" i="5" s="1"/>
  <c r="H259" i="5"/>
  <c r="I259" i="5" s="1"/>
  <c r="J259" i="5" s="1"/>
  <c r="H260" i="5"/>
  <c r="I260" i="5" s="1"/>
  <c r="J260" i="5" s="1"/>
  <c r="H261" i="5"/>
  <c r="I261" i="5" s="1"/>
  <c r="J261" i="5" s="1"/>
  <c r="H262" i="5"/>
  <c r="I262" i="5" s="1"/>
  <c r="J262" i="5" s="1"/>
  <c r="H263" i="5"/>
  <c r="I263" i="5" s="1"/>
  <c r="J263" i="5" s="1"/>
  <c r="H264" i="5"/>
  <c r="I264" i="5" s="1"/>
  <c r="J264" i="5" s="1"/>
  <c r="G265" i="5"/>
  <c r="H266" i="5"/>
  <c r="H268" i="5"/>
  <c r="I268" i="5" s="1"/>
  <c r="J268" i="5" s="1"/>
  <c r="H269" i="5"/>
  <c r="I269" i="5" s="1"/>
  <c r="J269" i="5" s="1"/>
  <c r="H270" i="5"/>
  <c r="I270" i="5" s="1"/>
  <c r="J270" i="5" s="1"/>
  <c r="H271" i="5"/>
  <c r="I271" i="5" s="1"/>
  <c r="J271" i="5" s="1"/>
  <c r="H272" i="5"/>
  <c r="I272" i="5" s="1"/>
  <c r="J272" i="5" s="1"/>
  <c r="H273" i="5"/>
  <c r="I273" i="5" s="1"/>
  <c r="J273" i="5" s="1"/>
  <c r="H274" i="5"/>
  <c r="I274" i="5" s="1"/>
  <c r="J274" i="5" s="1"/>
  <c r="H275" i="5"/>
  <c r="I275" i="5" s="1"/>
  <c r="J275" i="5" s="1"/>
  <c r="H276" i="5"/>
  <c r="I276" i="5" s="1"/>
  <c r="J276" i="5" s="1"/>
  <c r="H277" i="5"/>
  <c r="I277" i="5" s="1"/>
  <c r="J277" i="5" s="1"/>
  <c r="H278" i="5"/>
  <c r="I278" i="5" s="1"/>
  <c r="J278" i="5" s="1"/>
  <c r="G279" i="5"/>
  <c r="H279" i="5" s="1"/>
  <c r="I279" i="5" s="1"/>
  <c r="J279" i="5" s="1"/>
  <c r="H280" i="5"/>
  <c r="I280" i="5" s="1"/>
  <c r="I281" i="5" s="1"/>
  <c r="H282" i="5"/>
  <c r="I282" i="5" s="1"/>
  <c r="J282" i="5" s="1"/>
  <c r="H283" i="5"/>
  <c r="I283" i="5" s="1"/>
  <c r="J283" i="5" s="1"/>
  <c r="H284" i="5"/>
  <c r="I284" i="5" s="1"/>
  <c r="J284" i="5" s="1"/>
  <c r="H285" i="5"/>
  <c r="I285" i="5" s="1"/>
  <c r="J285" i="5" s="1"/>
  <c r="H286" i="5"/>
  <c r="I286" i="5" s="1"/>
  <c r="J286" i="5" s="1"/>
  <c r="H287" i="5"/>
  <c r="I287" i="5" s="1"/>
  <c r="J287" i="5" s="1"/>
  <c r="H288" i="5"/>
  <c r="I288" i="5" s="1"/>
  <c r="J288" i="5" s="1"/>
  <c r="F289" i="5"/>
  <c r="F290" i="5" s="1"/>
  <c r="F291" i="5" s="1"/>
  <c r="F292" i="5" s="1"/>
  <c r="F293" i="5" s="1"/>
  <c r="G290" i="5"/>
  <c r="H290" i="5" s="1"/>
  <c r="I290" i="5" s="1"/>
  <c r="J290" i="5" s="1"/>
  <c r="G291" i="5"/>
  <c r="H291" i="5" s="1"/>
  <c r="I291" i="5" s="1"/>
  <c r="J291" i="5" s="1"/>
  <c r="G292" i="5"/>
  <c r="H292" i="5" s="1"/>
  <c r="I292" i="5" s="1"/>
  <c r="J292" i="5" s="1"/>
  <c r="G293" i="5"/>
  <c r="H293" i="5" s="1"/>
  <c r="I293" i="5" s="1"/>
  <c r="J293" i="5" s="1"/>
  <c r="F294" i="5"/>
  <c r="G294" i="5" s="1"/>
  <c r="H294" i="5" s="1"/>
  <c r="I294" i="5" s="1"/>
  <c r="J294" i="5" s="1"/>
  <c r="G295" i="5"/>
  <c r="H295" i="5" s="1"/>
  <c r="I295" i="5" s="1"/>
  <c r="J295" i="5" s="1"/>
  <c r="G296" i="5"/>
  <c r="G297" i="5" s="1"/>
  <c r="G298" i="5" s="1"/>
  <c r="H297" i="5"/>
  <c r="I297" i="5" s="1"/>
  <c r="J297" i="5" s="1"/>
  <c r="H298" i="5"/>
  <c r="I298" i="5"/>
  <c r="J298" i="5" s="1"/>
  <c r="G299" i="5"/>
  <c r="H299" i="5" s="1"/>
  <c r="I299" i="5" s="1"/>
  <c r="J299" i="5" s="1"/>
  <c r="G300" i="5"/>
  <c r="H300" i="5" s="1"/>
  <c r="I300" i="5" s="1"/>
  <c r="J300" i="5" s="1"/>
  <c r="F301" i="5"/>
  <c r="F302" i="5" s="1"/>
  <c r="F303" i="5" s="1"/>
  <c r="G302" i="5"/>
  <c r="H302" i="5" s="1"/>
  <c r="I302" i="5" s="1"/>
  <c r="J302" i="5" s="1"/>
  <c r="G303" i="5"/>
  <c r="H303" i="5" s="1"/>
  <c r="I303" i="5" s="1"/>
  <c r="J303" i="5" s="1"/>
  <c r="F304" i="5"/>
  <c r="F305" i="5" s="1"/>
  <c r="F306" i="5" s="1"/>
  <c r="F307" i="5" s="1"/>
  <c r="F308" i="5" s="1"/>
  <c r="F309" i="5" s="1"/>
  <c r="F310" i="5" s="1"/>
  <c r="F311" i="5" s="1"/>
  <c r="G305" i="5"/>
  <c r="H305" i="5"/>
  <c r="I305" i="5" s="1"/>
  <c r="J305" i="5" s="1"/>
  <c r="G306" i="5"/>
  <c r="H306" i="5"/>
  <c r="I306" i="5" s="1"/>
  <c r="J306" i="5" s="1"/>
  <c r="G307" i="5"/>
  <c r="H307" i="5" s="1"/>
  <c r="I307" i="5" s="1"/>
  <c r="J307" i="5" s="1"/>
  <c r="G308" i="5"/>
  <c r="H308" i="5" s="1"/>
  <c r="I308" i="5" s="1"/>
  <c r="J308" i="5" s="1"/>
  <c r="G309" i="5"/>
  <c r="H309" i="5" s="1"/>
  <c r="I309" i="5" s="1"/>
  <c r="J309" i="5" s="1"/>
  <c r="G310" i="5"/>
  <c r="H310" i="5" s="1"/>
  <c r="I310" i="5" s="1"/>
  <c r="J310" i="5" s="1"/>
  <c r="G311" i="5"/>
  <c r="H311" i="5" s="1"/>
  <c r="I311" i="5" s="1"/>
  <c r="J311" i="5" s="1"/>
  <c r="E312" i="5"/>
  <c r="F312" i="5" s="1"/>
  <c r="G312" i="5" s="1"/>
  <c r="H312" i="5" s="1"/>
  <c r="I312" i="5" s="1"/>
  <c r="J312" i="5" s="1"/>
  <c r="F313" i="5"/>
  <c r="F314" i="5" s="1"/>
  <c r="F315" i="5" s="1"/>
  <c r="G314" i="5"/>
  <c r="H314" i="5"/>
  <c r="I314" i="5"/>
  <c r="J314" i="5" s="1"/>
  <c r="G315" i="5"/>
  <c r="H315" i="5" s="1"/>
  <c r="I315" i="5" s="1"/>
  <c r="J315" i="5" s="1"/>
  <c r="F316" i="5"/>
  <c r="G316" i="5" s="1"/>
  <c r="H316" i="5" s="1"/>
  <c r="I316" i="5" s="1"/>
  <c r="J316" i="5" s="1"/>
  <c r="F317" i="5"/>
  <c r="G317" i="5" s="1"/>
  <c r="H317" i="5" s="1"/>
  <c r="I317" i="5" s="1"/>
  <c r="J317" i="5" s="1"/>
  <c r="G318" i="5"/>
  <c r="H318" i="5" s="1"/>
  <c r="I318" i="5" s="1"/>
  <c r="J318" i="5" s="1"/>
  <c r="G319" i="5"/>
  <c r="H319" i="5" s="1"/>
  <c r="I319" i="5" s="1"/>
  <c r="J319" i="5" s="1"/>
  <c r="G320" i="5"/>
  <c r="H320" i="5" s="1"/>
  <c r="I320" i="5" s="1"/>
  <c r="J320" i="5" s="1"/>
  <c r="F321" i="5"/>
  <c r="F322" i="5" s="1"/>
  <c r="F323" i="5" s="1"/>
  <c r="G321" i="5"/>
  <c r="H321" i="5" s="1"/>
  <c r="I321" i="5" s="1"/>
  <c r="J321" i="5" s="1"/>
  <c r="G322" i="5"/>
  <c r="H322" i="5" s="1"/>
  <c r="I322" i="5" s="1"/>
  <c r="J322" i="5" s="1"/>
  <c r="G323" i="5"/>
  <c r="H323" i="5" s="1"/>
  <c r="I323" i="5" s="1"/>
  <c r="J323" i="5" s="1"/>
  <c r="F324" i="5"/>
  <c r="F325" i="5" s="1"/>
  <c r="F326" i="5" s="1"/>
  <c r="F327" i="5" s="1"/>
  <c r="G325" i="5"/>
  <c r="H325" i="5"/>
  <c r="I325" i="5" s="1"/>
  <c r="J325" i="5" s="1"/>
  <c r="G326" i="5"/>
  <c r="H326" i="5" s="1"/>
  <c r="I326" i="5" s="1"/>
  <c r="J326" i="5" s="1"/>
  <c r="G327" i="5"/>
  <c r="H327" i="5" s="1"/>
  <c r="I327" i="5" s="1"/>
  <c r="J327" i="5" s="1"/>
  <c r="F295" i="5" l="1"/>
  <c r="F296" i="5" s="1"/>
  <c r="F297" i="5" s="1"/>
  <c r="F298" i="5" s="1"/>
  <c r="F299" i="5" s="1"/>
  <c r="F300" i="5" s="1"/>
  <c r="F129" i="5"/>
  <c r="F130" i="5" s="1"/>
  <c r="F131" i="5" s="1"/>
  <c r="F132" i="5" s="1"/>
  <c r="F133" i="5" s="1"/>
  <c r="F134" i="5" s="1"/>
  <c r="F135" i="5" s="1"/>
  <c r="F136" i="5" s="1"/>
  <c r="F137" i="5" s="1"/>
  <c r="F138" i="5" s="1"/>
  <c r="F102" i="5"/>
  <c r="F103" i="5" s="1"/>
  <c r="E313" i="5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F192" i="5"/>
  <c r="F193" i="5" s="1"/>
  <c r="F194" i="5" s="1"/>
  <c r="F195" i="5" s="1"/>
  <c r="F196" i="5" s="1"/>
  <c r="F197" i="5" s="1"/>
  <c r="F198" i="5" s="1"/>
  <c r="G179" i="5"/>
  <c r="H179" i="5" s="1"/>
  <c r="I179" i="5" s="1"/>
  <c r="J179" i="5" s="1"/>
  <c r="F48" i="5"/>
  <c r="G48" i="5" s="1"/>
  <c r="H48" i="5" s="1"/>
  <c r="I48" i="5" s="1"/>
  <c r="J48" i="5" s="1"/>
  <c r="F158" i="5"/>
  <c r="F159" i="5" s="1"/>
  <c r="F160" i="5" s="1"/>
  <c r="F161" i="5" s="1"/>
  <c r="F162" i="5" s="1"/>
  <c r="F163" i="5" s="1"/>
  <c r="F164" i="5" s="1"/>
  <c r="F165" i="5" s="1"/>
  <c r="F166" i="5" s="1"/>
  <c r="G115" i="5"/>
  <c r="G116" i="5" s="1"/>
  <c r="F38" i="5"/>
  <c r="F39" i="5" s="1"/>
  <c r="F40" i="5" s="1"/>
  <c r="G21" i="5"/>
  <c r="G22" i="5" s="1"/>
  <c r="F54" i="5"/>
  <c r="F55" i="5" s="1"/>
  <c r="F56" i="5" s="1"/>
  <c r="F19" i="5"/>
  <c r="F20" i="5" s="1"/>
  <c r="F21" i="5" s="1"/>
  <c r="F22" i="5" s="1"/>
  <c r="F23" i="5" s="1"/>
  <c r="F24" i="5" s="1"/>
  <c r="F25" i="5" s="1"/>
  <c r="F26" i="5" s="1"/>
  <c r="F27" i="5" s="1"/>
  <c r="G207" i="5"/>
  <c r="F188" i="5"/>
  <c r="F189" i="5" s="1"/>
  <c r="F190" i="5" s="1"/>
  <c r="G111" i="5"/>
  <c r="G112" i="5" s="1"/>
  <c r="G113" i="5" s="1"/>
  <c r="G197" i="5"/>
  <c r="G198" i="5" s="1"/>
  <c r="G41" i="5"/>
  <c r="H41" i="5" s="1"/>
  <c r="I41" i="5" s="1"/>
  <c r="J41" i="5" s="1"/>
  <c r="F50" i="5"/>
  <c r="F51" i="5" s="1"/>
  <c r="F52" i="5" s="1"/>
  <c r="G138" i="5"/>
  <c r="F318" i="5"/>
  <c r="F319" i="5" s="1"/>
  <c r="F320" i="5" s="1"/>
  <c r="G313" i="5"/>
  <c r="H313" i="5" s="1"/>
  <c r="I313" i="5" s="1"/>
  <c r="J313" i="5" s="1"/>
  <c r="G301" i="5"/>
  <c r="H301" i="5" s="1"/>
  <c r="I301" i="5" s="1"/>
  <c r="J301" i="5" s="1"/>
  <c r="J280" i="5"/>
  <c r="J281" i="5" s="1"/>
  <c r="H256" i="5"/>
  <c r="I256" i="5" s="1"/>
  <c r="J256" i="5" s="1"/>
  <c r="I214" i="5"/>
  <c r="J214" i="5" s="1"/>
  <c r="F168" i="5"/>
  <c r="F169" i="5" s="1"/>
  <c r="F170" i="5" s="1"/>
  <c r="F171" i="5" s="1"/>
  <c r="F172" i="5" s="1"/>
  <c r="F173" i="5" s="1"/>
  <c r="F174" i="5" s="1"/>
  <c r="E123" i="5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F251" i="5"/>
  <c r="F252" i="5" s="1"/>
  <c r="F253" i="5" s="1"/>
  <c r="F254" i="5" s="1"/>
  <c r="F255" i="5" s="1"/>
  <c r="F256" i="5" s="1"/>
  <c r="F257" i="5" s="1"/>
  <c r="F258" i="5" s="1"/>
  <c r="F259" i="5" s="1"/>
  <c r="F260" i="5" s="1"/>
  <c r="F261" i="5" s="1"/>
  <c r="F262" i="5" s="1"/>
  <c r="F263" i="5" s="1"/>
  <c r="F264" i="5" s="1"/>
  <c r="F265" i="5" s="1"/>
  <c r="F266" i="5" s="1"/>
  <c r="F267" i="5" s="1"/>
  <c r="F268" i="5" s="1"/>
  <c r="F269" i="5" s="1"/>
  <c r="F270" i="5" s="1"/>
  <c r="F271" i="5" s="1"/>
  <c r="F272" i="5" s="1"/>
  <c r="F273" i="5" s="1"/>
  <c r="F274" i="5" s="1"/>
  <c r="F275" i="5" s="1"/>
  <c r="F276" i="5" s="1"/>
  <c r="F277" i="5" s="1"/>
  <c r="F278" i="5" s="1"/>
  <c r="F279" i="5" s="1"/>
  <c r="F280" i="5" s="1"/>
  <c r="F281" i="5" s="1"/>
  <c r="F282" i="5" s="1"/>
  <c r="F283" i="5" s="1"/>
  <c r="F284" i="5" s="1"/>
  <c r="F285" i="5" s="1"/>
  <c r="F286" i="5" s="1"/>
  <c r="F287" i="5" s="1"/>
  <c r="F288" i="5" s="1"/>
  <c r="F78" i="5"/>
  <c r="F79" i="5" s="1"/>
  <c r="G199" i="5"/>
  <c r="H199" i="5" s="1"/>
  <c r="I199" i="5" s="1"/>
  <c r="J199" i="5" s="1"/>
  <c r="G194" i="5"/>
  <c r="G195" i="5" s="1"/>
  <c r="G203" i="5"/>
  <c r="G204" i="5" s="1"/>
  <c r="E179" i="5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G213" i="5"/>
  <c r="G214" i="5" s="1"/>
  <c r="G215" i="5" s="1"/>
  <c r="G216" i="5" s="1"/>
  <c r="G217" i="5" s="1"/>
  <c r="G218" i="5" s="1"/>
  <c r="G219" i="5" s="1"/>
  <c r="G220" i="5" s="1"/>
  <c r="G221" i="5" s="1"/>
  <c r="G222" i="5" s="1"/>
  <c r="G223" i="5" s="1"/>
  <c r="G224" i="5" s="1"/>
  <c r="G225" i="5" s="1"/>
  <c r="G226" i="5" s="1"/>
  <c r="G227" i="5" s="1"/>
  <c r="G228" i="5" s="1"/>
  <c r="G146" i="5"/>
  <c r="G147" i="5" s="1"/>
  <c r="G148" i="5" s="1"/>
  <c r="G149" i="5" s="1"/>
  <c r="G150" i="5" s="1"/>
  <c r="G151" i="5" s="1"/>
  <c r="E77" i="5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G304" i="5"/>
  <c r="H304" i="5" s="1"/>
  <c r="I304" i="5" s="1"/>
  <c r="J304" i="5" s="1"/>
  <c r="G33" i="5"/>
  <c r="F140" i="5"/>
  <c r="F141" i="5" s="1"/>
  <c r="F142" i="5" s="1"/>
  <c r="F143" i="5" s="1"/>
  <c r="F144" i="5" s="1"/>
  <c r="F145" i="5" s="1"/>
  <c r="F146" i="5" s="1"/>
  <c r="F147" i="5" s="1"/>
  <c r="F148" i="5" s="1"/>
  <c r="F149" i="5" s="1"/>
  <c r="F150" i="5" s="1"/>
  <c r="F151" i="5" s="1"/>
  <c r="F152" i="5" s="1"/>
  <c r="F153" i="5" s="1"/>
  <c r="F154" i="5" s="1"/>
  <c r="F155" i="5" s="1"/>
  <c r="F156" i="5" s="1"/>
  <c r="H258" i="5"/>
  <c r="G118" i="5"/>
  <c r="H118" i="5" s="1"/>
  <c r="I118" i="5" s="1"/>
  <c r="J118" i="5" s="1"/>
  <c r="G324" i="5"/>
  <c r="H324" i="5" s="1"/>
  <c r="I324" i="5" s="1"/>
  <c r="J324" i="5" s="1"/>
  <c r="G289" i="5"/>
  <c r="H289" i="5" s="1"/>
  <c r="I289" i="5" s="1"/>
  <c r="J289" i="5" s="1"/>
  <c r="H281" i="5"/>
  <c r="G252" i="5"/>
  <c r="G253" i="5" s="1"/>
  <c r="G254" i="5" s="1"/>
  <c r="G255" i="5" s="1"/>
  <c r="H237" i="5"/>
  <c r="I237" i="5" s="1"/>
  <c r="J237" i="5" s="1"/>
  <c r="H296" i="5"/>
  <c r="I296" i="5" s="1"/>
  <c r="J296" i="5" s="1"/>
  <c r="G266" i="5"/>
  <c r="G267" i="5" s="1"/>
  <c r="G268" i="5" s="1"/>
  <c r="G269" i="5" s="1"/>
  <c r="G270" i="5" s="1"/>
  <c r="G271" i="5" s="1"/>
  <c r="G272" i="5" s="1"/>
  <c r="G273" i="5" s="1"/>
  <c r="G274" i="5" s="1"/>
  <c r="G275" i="5" s="1"/>
  <c r="G276" i="5" s="1"/>
  <c r="G277" i="5" s="1"/>
  <c r="G278" i="5" s="1"/>
  <c r="H265" i="5"/>
  <c r="I265" i="5" s="1"/>
  <c r="J265" i="5" s="1"/>
  <c r="F231" i="5"/>
  <c r="F232" i="5" s="1"/>
  <c r="F233" i="5" s="1"/>
  <c r="F234" i="5" s="1"/>
  <c r="F235" i="5" s="1"/>
  <c r="F236" i="5" s="1"/>
  <c r="F237" i="5" s="1"/>
  <c r="F238" i="5" s="1"/>
  <c r="F239" i="5" s="1"/>
  <c r="F240" i="5" s="1"/>
  <c r="F241" i="5" s="1"/>
  <c r="F242" i="5" s="1"/>
  <c r="F243" i="5" s="1"/>
  <c r="F244" i="5" s="1"/>
  <c r="F245" i="5" s="1"/>
  <c r="G230" i="5"/>
  <c r="H230" i="5" s="1"/>
  <c r="I230" i="5" s="1"/>
  <c r="J230" i="5" s="1"/>
  <c r="E230" i="5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F229" i="5"/>
  <c r="G229" i="5" s="1"/>
  <c r="H229" i="5" s="1"/>
  <c r="I229" i="5" s="1"/>
  <c r="J229" i="5" s="1"/>
  <c r="G280" i="5"/>
  <c r="G281" i="5" s="1"/>
  <c r="G282" i="5" s="1"/>
  <c r="G283" i="5" s="1"/>
  <c r="G284" i="5" s="1"/>
  <c r="G285" i="5" s="1"/>
  <c r="G286" i="5" s="1"/>
  <c r="G287" i="5" s="1"/>
  <c r="G288" i="5" s="1"/>
  <c r="H267" i="5"/>
  <c r="I266" i="5"/>
  <c r="F247" i="5"/>
  <c r="F248" i="5" s="1"/>
  <c r="F249" i="5" s="1"/>
  <c r="G246" i="5"/>
  <c r="H246" i="5" s="1"/>
  <c r="I246" i="5" s="1"/>
  <c r="J246" i="5" s="1"/>
  <c r="I221" i="5"/>
  <c r="J221" i="5" s="1"/>
  <c r="G232" i="5"/>
  <c r="G233" i="5" s="1"/>
  <c r="G234" i="5" s="1"/>
  <c r="H231" i="5"/>
  <c r="I231" i="5" s="1"/>
  <c r="J231" i="5" s="1"/>
  <c r="I258" i="5"/>
  <c r="J257" i="5"/>
  <c r="J258" i="5" s="1"/>
  <c r="G62" i="5"/>
  <c r="H62" i="5" s="1"/>
  <c r="I62" i="5" s="1"/>
  <c r="J62" i="5" s="1"/>
  <c r="F63" i="5"/>
  <c r="F64" i="5" s="1"/>
  <c r="F65" i="5" s="1"/>
  <c r="H131" i="5"/>
  <c r="I131" i="5" s="1"/>
  <c r="J131" i="5" s="1"/>
  <c r="F61" i="5"/>
  <c r="G61" i="5" s="1"/>
  <c r="H61" i="5" s="1"/>
  <c r="I61" i="5" s="1"/>
  <c r="J61" i="5" s="1"/>
  <c r="E62" i="5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H105" i="5"/>
  <c r="I105" i="5" s="1"/>
  <c r="J105" i="5" s="1"/>
  <c r="G104" i="5"/>
  <c r="H104" i="5" s="1"/>
  <c r="I104" i="5" s="1"/>
  <c r="J104" i="5" s="1"/>
  <c r="G88" i="5"/>
  <c r="H88" i="5" s="1"/>
  <c r="I88" i="5" s="1"/>
  <c r="J88" i="5" s="1"/>
  <c r="G80" i="5"/>
  <c r="H80" i="5" s="1"/>
  <c r="I80" i="5" s="1"/>
  <c r="J80" i="5" s="1"/>
  <c r="G16" i="5"/>
  <c r="H16" i="5" s="1"/>
  <c r="I16" i="5" s="1"/>
  <c r="J16" i="5" s="1"/>
  <c r="F15" i="5"/>
  <c r="G15" i="5" s="1"/>
  <c r="H15" i="5" s="1"/>
  <c r="I15" i="5" s="1"/>
  <c r="J15" i="5" s="1"/>
  <c r="G8" i="5"/>
  <c r="H8" i="5" s="1"/>
  <c r="I8" i="5" s="1"/>
  <c r="J8" i="5" s="1"/>
  <c r="F7" i="5"/>
  <c r="G7" i="5" s="1"/>
  <c r="H7" i="5" s="1"/>
  <c r="I7" i="5" s="1"/>
  <c r="J7" i="5" s="1"/>
  <c r="G66" i="5"/>
  <c r="H66" i="5" s="1"/>
  <c r="I66" i="5" s="1"/>
  <c r="J66" i="5" s="1"/>
  <c r="G92" i="5"/>
  <c r="H92" i="5" s="1"/>
  <c r="I92" i="5" s="1"/>
  <c r="J92" i="5" s="1"/>
  <c r="F91" i="5"/>
  <c r="G91" i="5" s="1"/>
  <c r="H91" i="5" s="1"/>
  <c r="I91" i="5" s="1"/>
  <c r="J91" i="5" s="1"/>
  <c r="G84" i="5"/>
  <c r="H84" i="5" s="1"/>
  <c r="I84" i="5" s="1"/>
  <c r="J84" i="5" s="1"/>
  <c r="G28" i="5"/>
  <c r="H28" i="5" s="1"/>
  <c r="I28" i="5" s="1"/>
  <c r="J28" i="5" s="1"/>
  <c r="G12" i="5"/>
  <c r="H12" i="5" s="1"/>
  <c r="I12" i="5" s="1"/>
  <c r="J12" i="5" s="1"/>
  <c r="F3" i="5"/>
  <c r="G3" i="5" s="1"/>
  <c r="H3" i="5" s="1"/>
  <c r="I3" i="5" s="1"/>
  <c r="J3" i="5" s="1"/>
  <c r="J266" i="5" l="1"/>
  <c r="J267" i="5" s="1"/>
  <c r="I267" i="5"/>
  <c r="D2" i="5"/>
  <c r="D3" i="5" s="1"/>
  <c r="D4" i="5" s="1"/>
  <c r="D5" i="5" s="1"/>
  <c r="D6" i="5" s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8" i="5" s="1"/>
  <c r="D69" i="5" s="1"/>
  <c r="D70" i="5" s="1"/>
  <c r="D71" i="5" s="1"/>
  <c r="D72" i="5" s="1"/>
  <c r="D73" i="5" s="1"/>
  <c r="D74" i="5" s="1"/>
  <c r="D75" i="5" s="1"/>
  <c r="D76" i="5" s="1"/>
  <c r="D77" i="5" s="1"/>
  <c r="D78" i="5" s="1"/>
  <c r="D79" i="5" s="1"/>
  <c r="D80" i="5" s="1"/>
  <c r="D81" i="5" s="1"/>
  <c r="D82" i="5" s="1"/>
  <c r="D83" i="5" s="1"/>
  <c r="D84" i="5" s="1"/>
  <c r="D85" i="5" s="1"/>
  <c r="D86" i="5" s="1"/>
  <c r="D87" i="5" s="1"/>
  <c r="D88" i="5" s="1"/>
  <c r="D89" i="5" s="1"/>
  <c r="D90" i="5" s="1"/>
  <c r="D91" i="5" s="1"/>
  <c r="D92" i="5" s="1"/>
  <c r="D93" i="5" s="1"/>
  <c r="D94" i="5" s="1"/>
  <c r="D95" i="5" s="1"/>
  <c r="D96" i="5" s="1"/>
  <c r="D97" i="5" s="1"/>
  <c r="D98" i="5" s="1"/>
  <c r="D99" i="5" s="1"/>
  <c r="D100" i="5" s="1"/>
  <c r="D101" i="5" s="1"/>
  <c r="D102" i="5" s="1"/>
  <c r="D103" i="5" s="1"/>
  <c r="D104" i="5" s="1"/>
  <c r="D105" i="5" s="1"/>
  <c r="D106" i="5" s="1"/>
  <c r="D107" i="5" s="1"/>
  <c r="D108" i="5" s="1"/>
  <c r="D109" i="5" s="1"/>
  <c r="D110" i="5" s="1"/>
  <c r="D111" i="5" s="1"/>
  <c r="D112" i="5" s="1"/>
  <c r="D113" i="5" s="1"/>
  <c r="D114" i="5" s="1"/>
  <c r="D115" i="5" s="1"/>
  <c r="D116" i="5" s="1"/>
  <c r="D117" i="5" s="1"/>
  <c r="D118" i="5" s="1"/>
  <c r="D119" i="5" s="1"/>
  <c r="D120" i="5" s="1"/>
  <c r="D121" i="5" s="1"/>
  <c r="D122" i="5" s="1"/>
  <c r="D123" i="5" s="1"/>
  <c r="D124" i="5" s="1"/>
  <c r="D125" i="5" s="1"/>
  <c r="D126" i="5" s="1"/>
  <c r="D127" i="5" s="1"/>
  <c r="D128" i="5" s="1"/>
  <c r="D129" i="5" s="1"/>
  <c r="D130" i="5" s="1"/>
  <c r="D131" i="5" s="1"/>
  <c r="D132" i="5" s="1"/>
  <c r="D133" i="5" s="1"/>
  <c r="D134" i="5" s="1"/>
  <c r="D135" i="5" s="1"/>
  <c r="D136" i="5" s="1"/>
  <c r="D137" i="5" s="1"/>
  <c r="D138" i="5" s="1"/>
  <c r="D139" i="5" s="1"/>
  <c r="D140" i="5" s="1"/>
  <c r="D141" i="5" s="1"/>
  <c r="D142" i="5" s="1"/>
  <c r="D143" i="5" s="1"/>
  <c r="D144" i="5" s="1"/>
  <c r="D145" i="5" s="1"/>
  <c r="D146" i="5" s="1"/>
  <c r="D147" i="5" s="1"/>
  <c r="D148" i="5" s="1"/>
  <c r="D149" i="5" s="1"/>
  <c r="D150" i="5" s="1"/>
  <c r="D151" i="5" s="1"/>
  <c r="D152" i="5" s="1"/>
  <c r="D153" i="5" s="1"/>
  <c r="D154" i="5" s="1"/>
  <c r="D155" i="5" s="1"/>
  <c r="D156" i="5" s="1"/>
  <c r="D157" i="5" s="1"/>
  <c r="D158" i="5" s="1"/>
  <c r="D159" i="5" s="1"/>
  <c r="D160" i="5" s="1"/>
  <c r="D161" i="5" s="1"/>
  <c r="D162" i="5" s="1"/>
  <c r="D163" i="5" s="1"/>
  <c r="D164" i="5" s="1"/>
  <c r="D165" i="5" s="1"/>
  <c r="D166" i="5" s="1"/>
  <c r="D167" i="5" s="1"/>
  <c r="D168" i="5" s="1"/>
  <c r="D169" i="5" s="1"/>
  <c r="D170" i="5" s="1"/>
  <c r="D171" i="5" s="1"/>
  <c r="D172" i="5" s="1"/>
  <c r="D173" i="5" s="1"/>
  <c r="D174" i="5" s="1"/>
  <c r="D175" i="5" s="1"/>
  <c r="D176" i="5" s="1"/>
  <c r="D177" i="5" s="1"/>
  <c r="D178" i="5" s="1"/>
  <c r="D179" i="5" s="1"/>
  <c r="D180" i="5" s="1"/>
  <c r="D181" i="5" s="1"/>
  <c r="D182" i="5" s="1"/>
  <c r="D183" i="5" s="1"/>
  <c r="D184" i="5" s="1"/>
  <c r="D185" i="5" s="1"/>
  <c r="D186" i="5" s="1"/>
  <c r="D187" i="5" s="1"/>
  <c r="D188" i="5" s="1"/>
  <c r="D189" i="5" s="1"/>
  <c r="D190" i="5" s="1"/>
  <c r="D191" i="5" s="1"/>
  <c r="D192" i="5" s="1"/>
  <c r="D193" i="5" s="1"/>
  <c r="D194" i="5" s="1"/>
  <c r="D195" i="5" s="1"/>
  <c r="D196" i="5" s="1"/>
  <c r="D197" i="5" s="1"/>
  <c r="D198" i="5" s="1"/>
  <c r="D199" i="5" s="1"/>
  <c r="D200" i="5" s="1"/>
  <c r="D201" i="5" s="1"/>
  <c r="D202" i="5" s="1"/>
  <c r="D203" i="5" s="1"/>
  <c r="D204" i="5" s="1"/>
  <c r="D205" i="5" s="1"/>
  <c r="D206" i="5" s="1"/>
  <c r="D207" i="5" s="1"/>
  <c r="D208" i="5" s="1"/>
  <c r="D209" i="5" s="1"/>
  <c r="D210" i="5" s="1"/>
  <c r="D211" i="5" s="1"/>
  <c r="D212" i="5" s="1"/>
  <c r="D213" i="5" s="1"/>
  <c r="D214" i="5" s="1"/>
  <c r="D215" i="5" s="1"/>
  <c r="D216" i="5" s="1"/>
  <c r="D217" i="5" s="1"/>
  <c r="D218" i="5" s="1"/>
  <c r="D219" i="5" s="1"/>
  <c r="D220" i="5" s="1"/>
  <c r="D221" i="5" s="1"/>
  <c r="D222" i="5" s="1"/>
  <c r="D223" i="5" s="1"/>
  <c r="D224" i="5" s="1"/>
  <c r="D225" i="5" s="1"/>
  <c r="D226" i="5" s="1"/>
  <c r="D227" i="5" s="1"/>
  <c r="D228" i="5" s="1"/>
  <c r="D229" i="5" s="1"/>
  <c r="D230" i="5" s="1"/>
  <c r="D231" i="5" s="1"/>
  <c r="D232" i="5" s="1"/>
  <c r="D233" i="5" s="1"/>
  <c r="D234" i="5" s="1"/>
  <c r="D235" i="5" s="1"/>
  <c r="D236" i="5" s="1"/>
  <c r="D237" i="5" s="1"/>
  <c r="D238" i="5" s="1"/>
  <c r="D239" i="5" s="1"/>
  <c r="D240" i="5" s="1"/>
  <c r="D241" i="5" s="1"/>
  <c r="D242" i="5" s="1"/>
  <c r="D243" i="5" s="1"/>
  <c r="D244" i="5" s="1"/>
  <c r="D245" i="5" s="1"/>
  <c r="D246" i="5" s="1"/>
  <c r="D247" i="5" s="1"/>
  <c r="D248" i="5" s="1"/>
  <c r="D249" i="5" s="1"/>
  <c r="D250" i="5" s="1"/>
  <c r="D251" i="5" s="1"/>
  <c r="D252" i="5" s="1"/>
  <c r="D253" i="5" s="1"/>
  <c r="D254" i="5" s="1"/>
  <c r="D255" i="5" s="1"/>
  <c r="D256" i="5" s="1"/>
  <c r="D257" i="5" s="1"/>
  <c r="D258" i="5" s="1"/>
  <c r="D259" i="5" s="1"/>
  <c r="D260" i="5" s="1"/>
  <c r="D261" i="5" s="1"/>
  <c r="D262" i="5" s="1"/>
  <c r="D263" i="5" s="1"/>
  <c r="D264" i="5" s="1"/>
  <c r="D265" i="5" s="1"/>
  <c r="D266" i="5" s="1"/>
  <c r="D267" i="5" s="1"/>
  <c r="D268" i="5" s="1"/>
  <c r="D269" i="5" s="1"/>
  <c r="D270" i="5" s="1"/>
  <c r="D271" i="5" s="1"/>
  <c r="D272" i="5" s="1"/>
  <c r="D273" i="5" s="1"/>
  <c r="D274" i="5" s="1"/>
  <c r="D275" i="5" s="1"/>
  <c r="D276" i="5" s="1"/>
  <c r="D277" i="5" s="1"/>
  <c r="D278" i="5" s="1"/>
  <c r="D279" i="5" s="1"/>
  <c r="D280" i="5" s="1"/>
  <c r="D281" i="5" s="1"/>
  <c r="D282" i="5" s="1"/>
  <c r="D283" i="5" s="1"/>
  <c r="D284" i="5" s="1"/>
  <c r="D285" i="5" s="1"/>
  <c r="D286" i="5" s="1"/>
  <c r="D287" i="5" s="1"/>
  <c r="D288" i="5" s="1"/>
  <c r="D289" i="5" s="1"/>
  <c r="D290" i="5" s="1"/>
  <c r="D291" i="5" s="1"/>
  <c r="D292" i="5" s="1"/>
  <c r="D293" i="5" s="1"/>
  <c r="D294" i="5" s="1"/>
  <c r="D295" i="5" s="1"/>
  <c r="D296" i="5" s="1"/>
  <c r="D297" i="5" s="1"/>
  <c r="D298" i="5" s="1"/>
  <c r="D299" i="5" s="1"/>
  <c r="D300" i="5" s="1"/>
  <c r="D301" i="5" s="1"/>
  <c r="D302" i="5" s="1"/>
  <c r="D303" i="5" s="1"/>
  <c r="D304" i="5" s="1"/>
  <c r="D305" i="5" s="1"/>
  <c r="D306" i="5" s="1"/>
  <c r="D307" i="5" s="1"/>
  <c r="D308" i="5" s="1"/>
  <c r="D309" i="5" s="1"/>
  <c r="D310" i="5" s="1"/>
  <c r="D311" i="5" s="1"/>
  <c r="D312" i="5" s="1"/>
  <c r="D313" i="5" s="1"/>
  <c r="D314" i="5" s="1"/>
  <c r="D315" i="5" s="1"/>
  <c r="D316" i="5" s="1"/>
  <c r="D317" i="5" s="1"/>
  <c r="D318" i="5" s="1"/>
  <c r="D319" i="5" s="1"/>
  <c r="D320" i="5" s="1"/>
  <c r="D321" i="5" s="1"/>
  <c r="D322" i="5" s="1"/>
  <c r="D323" i="5" s="1"/>
  <c r="D324" i="5" s="1"/>
  <c r="D325" i="5" s="1"/>
  <c r="D326" i="5" s="1"/>
  <c r="D327" i="5" s="1"/>
  <c r="E2" i="5" l="1"/>
  <c r="F2" i="5" s="1"/>
  <c r="G2" i="5" s="1"/>
  <c r="H2" i="5" s="1"/>
  <c r="I2" i="5" s="1"/>
  <c r="J2" i="5" s="1"/>
</calcChain>
</file>

<file path=xl/sharedStrings.xml><?xml version="1.0" encoding="utf-8"?>
<sst xmlns="http://schemas.openxmlformats.org/spreadsheetml/2006/main" count="2983" uniqueCount="1280">
  <si>
    <t>NÍVEL ESTRUTURA</t>
  </si>
  <si>
    <t>DIRETORIA</t>
  </si>
  <si>
    <t>DESCRIÇÃO GH</t>
  </si>
  <si>
    <t>N0</t>
  </si>
  <si>
    <t>N1</t>
  </si>
  <si>
    <t>N2</t>
  </si>
  <si>
    <t>N3</t>
  </si>
  <si>
    <t>N4</t>
  </si>
  <si>
    <t>N5</t>
  </si>
  <si>
    <t>N6</t>
  </si>
  <si>
    <t>G.H.</t>
  </si>
  <si>
    <t>ID</t>
  </si>
  <si>
    <t xml:space="preserve">NOME </t>
  </si>
  <si>
    <t>Tipo do GH</t>
  </si>
  <si>
    <t>CCOIS/AOPEX</t>
  </si>
  <si>
    <t>CCTPART</t>
  </si>
  <si>
    <t>CCOIS/ACAPEX</t>
  </si>
  <si>
    <t>CLASSIFICAÇÃO DE GESTOR</t>
  </si>
  <si>
    <t>VERTICAL</t>
  </si>
  <si>
    <t>Presidência</t>
  </si>
  <si>
    <t>07.00.00.00.00.00.00.00.0000</t>
  </si>
  <si>
    <t>MATEUS AFFONSO BANDEIRA</t>
  </si>
  <si>
    <t>OPEX</t>
  </si>
  <si>
    <t>CBT04610000</t>
  </si>
  <si>
    <t>-</t>
  </si>
  <si>
    <t>Áreas de Suporte</t>
  </si>
  <si>
    <t>Auditoria e GRC</t>
  </si>
  <si>
    <t>07.63.00.00.00.00.00.00.0000</t>
  </si>
  <si>
    <t>DUILIO DE NOVAES ALVES</t>
  </si>
  <si>
    <t>CBT15080000</t>
  </si>
  <si>
    <t>GESTOR DE GESTOR</t>
  </si>
  <si>
    <t>Conformidade e Sustentabilidade</t>
  </si>
  <si>
    <t>07.63.08.00.00.00.00.00.0000</t>
  </si>
  <si>
    <t>MARIANA MESQUITA DA CRUZ</t>
  </si>
  <si>
    <t>CBT13440000</t>
  </si>
  <si>
    <t>GESTOR DE TIME</t>
  </si>
  <si>
    <t>Riscos e Controles</t>
  </si>
  <si>
    <t>07.63.09.00.00.00.00.00.0000</t>
  </si>
  <si>
    <t>KAMILA DE VASCONCELOS VIEIRA</t>
  </si>
  <si>
    <t>CBT05610000</t>
  </si>
  <si>
    <t>Auditoria Interna</t>
  </si>
  <si>
    <t>07.63.11.00.00.00.00.00.0000</t>
  </si>
  <si>
    <t>MARINA BARBOSA MARQUES COELHO</t>
  </si>
  <si>
    <t>CBT04880000</t>
  </si>
  <si>
    <t>Regulatório &amp; Institucional</t>
  </si>
  <si>
    <t>07.67.00.00.00.00.00.00.0000</t>
  </si>
  <si>
    <t>ADRIANA DA CUNHA COSTA</t>
  </si>
  <si>
    <t>CBT04750000</t>
  </si>
  <si>
    <t>Regulamentação</t>
  </si>
  <si>
    <t>07.67.02.00.00.00.00.00.0000</t>
  </si>
  <si>
    <t>VIVIANE PRADO PERDIGAO</t>
  </si>
  <si>
    <t>CBT01240000</t>
  </si>
  <si>
    <t>Contencioso Regulatório, Concorrencial e M&amp;A</t>
  </si>
  <si>
    <t>07.67.02.01.00.00.00.00.0000</t>
  </si>
  <si>
    <t>MARIANA OLIVEIRA MASSUH DOHER</t>
  </si>
  <si>
    <t>CBT05720000</t>
  </si>
  <si>
    <t>Controle de Obrigações Regulatórias</t>
  </si>
  <si>
    <t>07.67.02.02.00.00.00.00.0000</t>
  </si>
  <si>
    <t>CARLOS VASCONCELOS GALVAO</t>
  </si>
  <si>
    <t>CBT04840000</t>
  </si>
  <si>
    <t>Evolução, Consultoria e Compliance Regulatório</t>
  </si>
  <si>
    <t>07.67.02.05.00.00.00.00.0000</t>
  </si>
  <si>
    <t>MARIA MARGARETE DA ROCHA</t>
  </si>
  <si>
    <t>CBT06150000</t>
  </si>
  <si>
    <t>Institucional e Assessoria de Imprensa</t>
  </si>
  <si>
    <t>07.67.03.00.00.00.00.00.0000</t>
  </si>
  <si>
    <t>VAGO</t>
  </si>
  <si>
    <t>CBT04640000</t>
  </si>
  <si>
    <t>Relações Institucionais</t>
  </si>
  <si>
    <t>07.67.03.01.00.00.00.00.0000</t>
  </si>
  <si>
    <t>ILDEU RANDOLFO BORGES JUNIOR</t>
  </si>
  <si>
    <t>CBT24180000</t>
  </si>
  <si>
    <t>Planejamento e Gestão de Regulamentação</t>
  </si>
  <si>
    <t>07.67.04.00.00.00.00.00.0000</t>
  </si>
  <si>
    <t>ANDRE MORAIS DE FARIAS</t>
  </si>
  <si>
    <t>CBT04630000</t>
  </si>
  <si>
    <t>Finanças e Relações com Investidores</t>
  </si>
  <si>
    <t>07.68.00.00.00.00.00.00.0000</t>
  </si>
  <si>
    <t>CRISTIANE BARRETTO SALES</t>
  </si>
  <si>
    <t>CBT14360000</t>
  </si>
  <si>
    <t>Rel Investidores</t>
  </si>
  <si>
    <t>07.68.03.00.00.00.00.00.0000</t>
  </si>
  <si>
    <t>LUIS CARLOS DA COSTA PLASTER</t>
  </si>
  <si>
    <t>CBT05160000</t>
  </si>
  <si>
    <t>Relações com Investidores</t>
  </si>
  <si>
    <t>07.68.03.01.00.00.00.00.0000</t>
  </si>
  <si>
    <t>CAMILA ASSANO CARDOSO CRUZ DE CARVALHO</t>
  </si>
  <si>
    <t>CBT07480000</t>
  </si>
  <si>
    <t>Controladoria</t>
  </si>
  <si>
    <t>07.68.05.00.00.00.00.00.0000</t>
  </si>
  <si>
    <t>ANDRE TAVARES PARADIZI</t>
  </si>
  <si>
    <t>CBT05220000</t>
  </si>
  <si>
    <t>FP&amp;A</t>
  </si>
  <si>
    <t>07.68.05.15.00.00.00.00.0000</t>
  </si>
  <si>
    <t>PATRICIA DECURSI GOUVEIA DE SOUZA</t>
  </si>
  <si>
    <t>CBT45640000</t>
  </si>
  <si>
    <t>Contabilidade Geral</t>
  </si>
  <si>
    <t>07.68.05.16.00.00.00.00.0000</t>
  </si>
  <si>
    <t>FRANCISCO PAULO MACAMBIRA HAICK</t>
  </si>
  <si>
    <t>CBT46280000</t>
  </si>
  <si>
    <t>Anl Societária, Normas Contábeis e Relatórios Fin</t>
  </si>
  <si>
    <t>07.68.05.16.02.00.00.00.0000</t>
  </si>
  <si>
    <t>PATRICIA ANN NECYK</t>
  </si>
  <si>
    <t>CBT12010000</t>
  </si>
  <si>
    <t>Contabilidade Operacional</t>
  </si>
  <si>
    <t>07.68.05.16.03.00.00.00.0000</t>
  </si>
  <si>
    <t>MARCELO ANTONIO LEAL GOMES</t>
  </si>
  <si>
    <t>CBT05360000</t>
  </si>
  <si>
    <t>Planejamento Longo Prazo</t>
  </si>
  <si>
    <t>07.68.05.17.00.00.00.00.0000</t>
  </si>
  <si>
    <t>NATHALIA DEL CARMEN AGUAYO RIBEIRO</t>
  </si>
  <si>
    <t>CBT18010000</t>
  </si>
  <si>
    <t>Parceiro de Negócios Financeiros - Tecnologia/Rede</t>
  </si>
  <si>
    <t>07.68.05.23.00.00.00.00.0000</t>
  </si>
  <si>
    <t>PRISCILA BITTENCOURT MARTINS MANNINO</t>
  </si>
  <si>
    <t>CBT15360000</t>
  </si>
  <si>
    <t>Parceiro de Negócios Financeiros - Varejo/Emp.</t>
  </si>
  <si>
    <t>07.68.05.25.00.00.00.00.0000</t>
  </si>
  <si>
    <t>MAURICIO CARDOSO FERNANDES</t>
  </si>
  <si>
    <t>CBT18530000</t>
  </si>
  <si>
    <t>Gestão de Despesas e Receita Legado e Contratos</t>
  </si>
  <si>
    <t>07.68.05.26.00.00.00.00.0000</t>
  </si>
  <si>
    <t>RAFAEL DA COSTA DINIZ</t>
  </si>
  <si>
    <t>CBT11350000</t>
  </si>
  <si>
    <t>Cobre</t>
  </si>
  <si>
    <t>Gestão de Eficiência Administrativa Patrimonial</t>
  </si>
  <si>
    <t>07.68.05.27.00.00.00.00.0000</t>
  </si>
  <si>
    <t>TATIANA CARDOZO DOS SANTOS</t>
  </si>
  <si>
    <t>CBT46290000</t>
  </si>
  <si>
    <t>Tesouraria e Análise de Desempenho</t>
  </si>
  <si>
    <t>07.68.06.00.00.00.00.00.0000</t>
  </si>
  <si>
    <t>PEDRO DE ANDRADE FRANCA</t>
  </si>
  <si>
    <t>CBT05150000</t>
  </si>
  <si>
    <t>Gestão de Riscos Financeiros</t>
  </si>
  <si>
    <t>07.68.06.01.00.00.00.00.0000</t>
  </si>
  <si>
    <t>PHILIPPE REIS DE SOUZA BRASIL CARMO</t>
  </si>
  <si>
    <t>CBT13280000</t>
  </si>
  <si>
    <t>Captação e Adm de Recursos Financeiros</t>
  </si>
  <si>
    <t>07.68.06.02.00.00.00.00.0000</t>
  </si>
  <si>
    <t>ANA CAROLINA GAVA DE LIMA</t>
  </si>
  <si>
    <t>CBT13290000</t>
  </si>
  <si>
    <t>Seguros</t>
  </si>
  <si>
    <t>07.68.06.03.00.00.00.00.0000</t>
  </si>
  <si>
    <t>LIEGE DE SOUZA FERRO LIMA</t>
  </si>
  <si>
    <t>CBT10010000</t>
  </si>
  <si>
    <t>Planejamento de Caixa</t>
  </si>
  <si>
    <t>07.68.06.05.00.00.00.00.0000</t>
  </si>
  <si>
    <t>EDUARDO STREIT</t>
  </si>
  <si>
    <t>CBT45770000</t>
  </si>
  <si>
    <t>Resultado Financeiro</t>
  </si>
  <si>
    <t>07.68.06.05.01.00.00.00.0000</t>
  </si>
  <si>
    <t>FABIANA FARES DIB</t>
  </si>
  <si>
    <t>Torre Controle RJ e Contas a Pagar</t>
  </si>
  <si>
    <t>07.68.06.06.00.00.00.00.0000</t>
  </si>
  <si>
    <t>ANA KELLY DA SILVA CARNEIRO</t>
  </si>
  <si>
    <t>CBT48580000</t>
  </si>
  <si>
    <t>Contas a Pagar</t>
  </si>
  <si>
    <t>07.68.06.06.01.00.00.00.0000</t>
  </si>
  <si>
    <t>MANUELA BARROS DE SA GRANDE</t>
  </si>
  <si>
    <t>Torre Controle RJ</t>
  </si>
  <si>
    <t>07.68.06.06.02.00.00.00.0000</t>
  </si>
  <si>
    <t>CYNTHIA TOLEDO CARRIERI</t>
  </si>
  <si>
    <t>Tributos</t>
  </si>
  <si>
    <t>07.68.08.00.00.00.00.00.0000</t>
  </si>
  <si>
    <t>FLAVIA SOBREIRA CASALI LIMA BASTOS</t>
  </si>
  <si>
    <t>CBT05230000</t>
  </si>
  <si>
    <t>Tributos Diretos</t>
  </si>
  <si>
    <t>07.68.08.01.00.00.00.00.0000</t>
  </si>
  <si>
    <t>PAULO ROBERTO SALGUEIRO VIDAL</t>
  </si>
  <si>
    <t>CBT05780000</t>
  </si>
  <si>
    <t>Tributos Indiretos</t>
  </si>
  <si>
    <t>07.68.08.02.00.00.00.00.0000</t>
  </si>
  <si>
    <t>ERIKA REGINA BRAGA ONOFRE</t>
  </si>
  <si>
    <t>CBT05790000</t>
  </si>
  <si>
    <t>Posto Fiscal</t>
  </si>
  <si>
    <t>07.68.08.03.00.00.00.00.0000</t>
  </si>
  <si>
    <t>HOZANA GUIMARAES DE SA BRAGA</t>
  </si>
  <si>
    <t>CBT46720000</t>
  </si>
  <si>
    <t>Ciclo da Receita</t>
  </si>
  <si>
    <t>07.68.09.00.00.00.00.00.0000</t>
  </si>
  <si>
    <t>BRUNO MACEDO SOARES</t>
  </si>
  <si>
    <t>CBT16710000</t>
  </si>
  <si>
    <t>Arrecadação e Cobrança Varejo</t>
  </si>
  <si>
    <t>07.68.09.01.00.00.00.00.0000</t>
  </si>
  <si>
    <t>DANIEL CATTETE SANGUEDO</t>
  </si>
  <si>
    <t>CBT07650000</t>
  </si>
  <si>
    <t>Governança, Trafego e Projetos</t>
  </si>
  <si>
    <t>07.68.09.02.00.00.00.00.0000</t>
  </si>
  <si>
    <t>ALTEVO CARLOS DE SA VOLOTAO</t>
  </si>
  <si>
    <t>CBT16770000</t>
  </si>
  <si>
    <t>Cobrança Corporativa e Atacado</t>
  </si>
  <si>
    <t>07.68.09.04.00.00.00.00.0000</t>
  </si>
  <si>
    <t>PEDRO HENRIQUE VILLAREJO KEDE LAUAND</t>
  </si>
  <si>
    <t>CBT05770000</t>
  </si>
  <si>
    <t>Prevenção a Fraude e RA</t>
  </si>
  <si>
    <t>07.68.09.05.00.00.00.00.0000</t>
  </si>
  <si>
    <t>ALESSANDRO LUIZ VARME DIAS</t>
  </si>
  <si>
    <t>CBT17420000</t>
  </si>
  <si>
    <t>Cadastro de Produtos, Ofertas e Clientes</t>
  </si>
  <si>
    <t>07.68.09.07.00.00.00.00.0000</t>
  </si>
  <si>
    <t>IARA KELLI DA CRUZ BRAGA</t>
  </si>
  <si>
    <t>CBT18120000</t>
  </si>
  <si>
    <t>Faturamento de Clientes</t>
  </si>
  <si>
    <t>07.68.09.08.00.00.00.00.0000</t>
  </si>
  <si>
    <t>MONICA SANT ANNA PAETZOLDT</t>
  </si>
  <si>
    <t>CBT18130000</t>
  </si>
  <si>
    <t>Suporte ao Negócio</t>
  </si>
  <si>
    <t>07.69.00.00.00.00.00.00.0000</t>
  </si>
  <si>
    <t>DANIEL JUNQUEIRA PINTO HERMETO</t>
  </si>
  <si>
    <t>CBT17670000</t>
  </si>
  <si>
    <t>Suprimentos</t>
  </si>
  <si>
    <t>07.69.02.00.00.00.00.00.0000</t>
  </si>
  <si>
    <t>LUIZ FELLIPE MENDES VIEIRA</t>
  </si>
  <si>
    <t>CBT00010000</t>
  </si>
  <si>
    <t>Estratégia e Compras Corporativas</t>
  </si>
  <si>
    <t>07.69.02.01.00.00.00.00.0000</t>
  </si>
  <si>
    <t>RAFAEL MAIA DE VASCONCELOS MUNIZ</t>
  </si>
  <si>
    <t>CBT05180000</t>
  </si>
  <si>
    <t>Compra Indiretas</t>
  </si>
  <si>
    <t>07.69.02.04.00.00.00.00.0000</t>
  </si>
  <si>
    <t>MICHELLE CANANEA MEDEIROS FURTADO</t>
  </si>
  <si>
    <t>CBT17640000</t>
  </si>
  <si>
    <t>Compras diretas</t>
  </si>
  <si>
    <t>07.69.02.06.00.00.00.00.0000</t>
  </si>
  <si>
    <t>ERNANI SANT ANA DA SILVA</t>
  </si>
  <si>
    <t>CBT18260000</t>
  </si>
  <si>
    <t>Patrimônio</t>
  </si>
  <si>
    <t>07.69.03.00.00.00.00.00.0000</t>
  </si>
  <si>
    <t>EVANDRO SCHIMMING SMITH ANGELO</t>
  </si>
  <si>
    <t>CBT05260000</t>
  </si>
  <si>
    <t>Facilities, Seguranca Emp. e Ações Restritas</t>
  </si>
  <si>
    <t>07.69.03.03.00.00.00.00.0000</t>
  </si>
  <si>
    <t>ADRIANO ANDREY ISRAEL</t>
  </si>
  <si>
    <t>CBT05290000</t>
  </si>
  <si>
    <t>Contratos Patrimoniais e Postes</t>
  </si>
  <si>
    <t>07.69.03.04.00.00.00.00.0000</t>
  </si>
  <si>
    <t>BERNARDO MATURO IENO</t>
  </si>
  <si>
    <t>CBT05310000</t>
  </si>
  <si>
    <t>Gestao Contr. Sites, Dir. e Obrig Pos M&amp;A</t>
  </si>
  <si>
    <t>07.69.03.05.00.00.00.00.0000</t>
  </si>
  <si>
    <t>ROBERTO ZURLO PIRES</t>
  </si>
  <si>
    <t>CBT16020000</t>
  </si>
  <si>
    <t>Energia</t>
  </si>
  <si>
    <t>07.69.04.00.00.00.00.00.0000</t>
  </si>
  <si>
    <t>ANA THEREZA SILVA MIGUELOTE</t>
  </si>
  <si>
    <t>CBT17430000</t>
  </si>
  <si>
    <t>Planej, Contr. Financeiro e Eficiência Operacional</t>
  </si>
  <si>
    <t>07.69.04.01.00.00.00.00.0000</t>
  </si>
  <si>
    <t>CAROLINA ARLOTTA</t>
  </si>
  <si>
    <t>CBT14470000</t>
  </si>
  <si>
    <t>Eficiência Energética e Geração Distribuída</t>
  </si>
  <si>
    <t>07.69.04.02.00.00.00.00.0000</t>
  </si>
  <si>
    <t>FELIX DE BARROS JUNIOR</t>
  </si>
  <si>
    <t>CBT14480000</t>
  </si>
  <si>
    <t>Estratégia e Gestão Imobiliária</t>
  </si>
  <si>
    <t>07.69.06.00.00.00.00.00.0000</t>
  </si>
  <si>
    <t>MARCIA HELENA DA FONSECA</t>
  </si>
  <si>
    <t>CBT12990000</t>
  </si>
  <si>
    <t>Jurídica</t>
  </si>
  <si>
    <t>07.70.00.00.00.00.00.00.0000</t>
  </si>
  <si>
    <t>THALLES EDUARDO SILVA GRACELACIO DA PAIXAO</t>
  </si>
  <si>
    <t>CBT04910000</t>
  </si>
  <si>
    <t>CBT17150000</t>
  </si>
  <si>
    <t>Jurídico de Relações de Consumo e Criminal</t>
  </si>
  <si>
    <t>07.70.01.00.00.00.00.00.0000</t>
  </si>
  <si>
    <t>ELEN MARQUES SOUTO LA CROIX</t>
  </si>
  <si>
    <t>CBT04930000</t>
  </si>
  <si>
    <t>Contenc. Consumidor Massa e PEX</t>
  </si>
  <si>
    <t>07.70.01.02.00.00.00.00.0000</t>
  </si>
  <si>
    <t>FABRICIO CARDOSO DE FARIA MARTINS</t>
  </si>
  <si>
    <t>CBT13230000</t>
  </si>
  <si>
    <t>ODCs e Acordos</t>
  </si>
  <si>
    <t>07.70.01.03.00.00.00.00.0000</t>
  </si>
  <si>
    <t>ADRIANA VELHOTE DE OLIVEIRA</t>
  </si>
  <si>
    <t>CBT13240000</t>
  </si>
  <si>
    <t>Jurídico Criminal e Gestão</t>
  </si>
  <si>
    <t>07.70.01.08.00.00.00.00.0000</t>
  </si>
  <si>
    <t>MARCELA LIMA ROCHA SCOFANO</t>
  </si>
  <si>
    <t>CBT04970000</t>
  </si>
  <si>
    <t>Jurídico Civel Estratégico e Tributário</t>
  </si>
  <si>
    <t>07.70.02.00.00.00.00.00.0000</t>
  </si>
  <si>
    <t>FERNANDO RAPOSO FRANCO</t>
  </si>
  <si>
    <t>CBT04940000</t>
  </si>
  <si>
    <t>Jurídico Tributário</t>
  </si>
  <si>
    <t>07.70.02.02.00.00.00.00.0000</t>
  </si>
  <si>
    <t>PEDRO RIQUE NEPOMUCENO</t>
  </si>
  <si>
    <t>CBT13270000</t>
  </si>
  <si>
    <t>Contencioso Telecom e Cível Estratégico</t>
  </si>
  <si>
    <t>07.70.02.04.00.00.00.00.0000</t>
  </si>
  <si>
    <t>LUIZ FELIPE NEVES DO COUTO VARGAS</t>
  </si>
  <si>
    <t>CBT04980000</t>
  </si>
  <si>
    <t>Serviços Jurídicos e Trabalhista</t>
  </si>
  <si>
    <t>07.70.05.00.00.00.00.00.0000</t>
  </si>
  <si>
    <t>WILLIAMS PEREIRA JUNIOR</t>
  </si>
  <si>
    <t>CBT05010000</t>
  </si>
  <si>
    <t>Trabalhista Estratégico Consultivo</t>
  </si>
  <si>
    <t>07.70.05.01.00.00.00.00.0000</t>
  </si>
  <si>
    <t>GUSTAVO MEDINA MIRANDA DA SILVA</t>
  </si>
  <si>
    <t>CBT05020000</t>
  </si>
  <si>
    <t>Trabalhista de Massa e Serede</t>
  </si>
  <si>
    <t>07.70.05.02.00.00.00.00.0000</t>
  </si>
  <si>
    <t>DOUGLAS TOSTES COELHO</t>
  </si>
  <si>
    <t>CBT05710000</t>
  </si>
  <si>
    <t>Serviços Jurídicos Regionais</t>
  </si>
  <si>
    <t>07.70.05.06.00.00.00.00.0000</t>
  </si>
  <si>
    <t>VIVIANE LIMA MARQUES</t>
  </si>
  <si>
    <t>CBT06340000</t>
  </si>
  <si>
    <t>Societário, Mercado de títulos e Contratos</t>
  </si>
  <si>
    <t>07.70.08.00.00.00.00.00.0000</t>
  </si>
  <si>
    <t>DANIELLA GESZIKTER VENTURA</t>
  </si>
  <si>
    <t>CBT13250000</t>
  </si>
  <si>
    <t>Societário M&amp;A e Contratos Financeiros</t>
  </si>
  <si>
    <t>07.70.08.01.00.00.00.00.0000</t>
  </si>
  <si>
    <t>LEANDRO DIOGO LUZ</t>
  </si>
  <si>
    <t>CBT07740000</t>
  </si>
  <si>
    <t>Licitações e Contratos</t>
  </si>
  <si>
    <t>07.70.08.02.00.00.00.00.0000</t>
  </si>
  <si>
    <t>BARBARA ERTHAL PINHEIRO</t>
  </si>
  <si>
    <t>CBT07730000</t>
  </si>
  <si>
    <t>Pessoas &amp; Cultura</t>
  </si>
  <si>
    <t>07.71.00.00.00.00.00.00.0000</t>
  </si>
  <si>
    <t>MARCOS AURELIO FREIRE MENDES</t>
  </si>
  <si>
    <t>CBT05040000</t>
  </si>
  <si>
    <t>Comunicação e Cultura Organizacional</t>
  </si>
  <si>
    <t>07.71.01.00.00.00.00.00.0000</t>
  </si>
  <si>
    <t>MANOELA DO AMARAL OSORIO</t>
  </si>
  <si>
    <t>CBT05050000</t>
  </si>
  <si>
    <t>Comunicação Interna</t>
  </si>
  <si>
    <t>07.71.01.02.00.00.00.00.0000</t>
  </si>
  <si>
    <t>SILENE CRISTINA BERNE</t>
  </si>
  <si>
    <t>CBT13430000</t>
  </si>
  <si>
    <t>Cultura e Liderança</t>
  </si>
  <si>
    <t>07.71.01.03.00.00.00.00.0000</t>
  </si>
  <si>
    <t>CBT06000000</t>
  </si>
  <si>
    <t>Remuneração, Planejamento e Gestão</t>
  </si>
  <si>
    <t>07.71.03.00.00.00.00.00.0000</t>
  </si>
  <si>
    <t>RICARDO GOULART</t>
  </si>
  <si>
    <t>CBT05060000</t>
  </si>
  <si>
    <t>Remuneração, Benefícios e Planej. Organizacional</t>
  </si>
  <si>
    <t>07.71.03.01.00.00.00.00.0000</t>
  </si>
  <si>
    <t>CARLOS EDUARDO DA ROCHA ANDRADE</t>
  </si>
  <si>
    <t>CBT05900000</t>
  </si>
  <si>
    <t>Analytics, Gestão, Sistemas e Terceiros</t>
  </si>
  <si>
    <t>07.71.03.02.00.00.00.00.0000</t>
  </si>
  <si>
    <t>JUSSARA PETRA ROCHA</t>
  </si>
  <si>
    <t>CBT06010000</t>
  </si>
  <si>
    <t>Folha de Pagamento e Operações de RH</t>
  </si>
  <si>
    <t>07.71.03.04.00.00.00.00.0000</t>
  </si>
  <si>
    <t>VALERIA DA CONCEICAO BRAGA</t>
  </si>
  <si>
    <t>CBT05240000</t>
  </si>
  <si>
    <t>Jornada &amp; Experiência do Colaborador</t>
  </si>
  <si>
    <t>07.71.07.00.00.00.00.00.0000</t>
  </si>
  <si>
    <t>ARIANE FONSECA VIEIRA</t>
  </si>
  <si>
    <t>CBT05090000</t>
  </si>
  <si>
    <t>Consultoria Gestão e Atração de Pessoas</t>
  </si>
  <si>
    <t>07.71.07.01.00.00.00.00.0000</t>
  </si>
  <si>
    <t>CLAUDIA MARIA BORBOREMA BEZERRA NUNES</t>
  </si>
  <si>
    <t>CBT06740000</t>
  </si>
  <si>
    <t>Aprendizagem Corporativa &amp; Aceleração de Talentos</t>
  </si>
  <si>
    <t>07.71.07.07.00.00.00.00.0000</t>
  </si>
  <si>
    <t>CAROLINA CELSER ENGEL</t>
  </si>
  <si>
    <t>CBT02330000</t>
  </si>
  <si>
    <t>Rel Trabs, Saúde, Segurança e Bem Estar</t>
  </si>
  <si>
    <t>07.71.07.08.00.00.00.00.0000</t>
  </si>
  <si>
    <t>CINTIA ZOZIMO MARQUES RAU</t>
  </si>
  <si>
    <t>CBT05930000</t>
  </si>
  <si>
    <t>Planejamento e Desempenho Oi Futuro</t>
  </si>
  <si>
    <t>07.71.08.00.00.00.00.00.0000</t>
  </si>
  <si>
    <t>SARA ADELINA CROSMAN ROCHA DE CARVALHO</t>
  </si>
  <si>
    <t>CBT06780000</t>
  </si>
  <si>
    <t>Programas de Educação Oi Futuro</t>
  </si>
  <si>
    <t>07.71.08.01.00.00.00.00.0000</t>
  </si>
  <si>
    <t>CARLA MARQUES ULLER</t>
  </si>
  <si>
    <t>CBT15870000</t>
  </si>
  <si>
    <t>Ouvidoria e Atendimento VIP</t>
  </si>
  <si>
    <t>07.73.00.00.00.00.00.00.0000</t>
  </si>
  <si>
    <t>ANDRESSA RODRIGUES MOURAO</t>
  </si>
  <si>
    <t>CBT06040000</t>
  </si>
  <si>
    <t>Tecnologia</t>
  </si>
  <si>
    <t>07.74.00.00.00.00.00.00.0000</t>
  </si>
  <si>
    <t>CAIO MARCIO GUSMON</t>
  </si>
  <si>
    <t>HÍBRIDO</t>
  </si>
  <si>
    <t>CBT27970000</t>
  </si>
  <si>
    <t>IDI90000001IN00RJ</t>
  </si>
  <si>
    <t>Soluções Oi Fibra e Aplicações Corporativas</t>
  </si>
  <si>
    <t>07.74.06.00.00.00.00.00.0000</t>
  </si>
  <si>
    <t>BRUNO DIEHL</t>
  </si>
  <si>
    <t>CBT18100000</t>
  </si>
  <si>
    <t>IDI99999990IN00RJ</t>
  </si>
  <si>
    <t>Fibra</t>
  </si>
  <si>
    <t>Vendas Digitais</t>
  </si>
  <si>
    <t>07.74.06.01.00.00.00.00.0000</t>
  </si>
  <si>
    <t>CAROLINA DARIGO KOPSCHITZ FACCHINETTI</t>
  </si>
  <si>
    <t>CBT47810000</t>
  </si>
  <si>
    <t>Faturamento BRM</t>
  </si>
  <si>
    <t>07.74.06.02.00.00.00.00.0000</t>
  </si>
  <si>
    <t>CARLOS ALBERTO SANT ANNA LAPA</t>
  </si>
  <si>
    <t>CBT17270000</t>
  </si>
  <si>
    <t>Desenvolvimento Oi Place</t>
  </si>
  <si>
    <t>07.74.06.04.00.00.00.00.0000</t>
  </si>
  <si>
    <t>CLAUDIA CAGLIARI DIB</t>
  </si>
  <si>
    <t>CBT47830000</t>
  </si>
  <si>
    <t>Novas Receitas</t>
  </si>
  <si>
    <t>UX</t>
  </si>
  <si>
    <t>07.74.06.05.00.00.00.00.0000</t>
  </si>
  <si>
    <t>NANCY DE FILIPPIS</t>
  </si>
  <si>
    <t>CBT47840000</t>
  </si>
  <si>
    <t>Atendimento e Aplicações de Negócios</t>
  </si>
  <si>
    <t>07.74.06.06.00.00.00.00.0000</t>
  </si>
  <si>
    <t>DANIEL NASSUR DE SOUZA</t>
  </si>
  <si>
    <t>CBT28190000</t>
  </si>
  <si>
    <t>Faturamento Legado e Aplicaçoes Corporativas</t>
  </si>
  <si>
    <t>07.74.06.08.00.00.00.00.0000</t>
  </si>
  <si>
    <t>VIVIAN APARECIDA DE JESUS</t>
  </si>
  <si>
    <t>CBT28180000</t>
  </si>
  <si>
    <t>Desenvolvimento CRM - Siebel</t>
  </si>
  <si>
    <t>07.74.06.09.00.00.00.00.0000</t>
  </si>
  <si>
    <t>REGINA CELIA DE SOUZA MONTES</t>
  </si>
  <si>
    <t>CBT28210000</t>
  </si>
  <si>
    <t>Desenvolvimento Oi Soluções</t>
  </si>
  <si>
    <t>07.74.07.00.00.00.00.00.0000</t>
  </si>
  <si>
    <t>RODRIGO AZEVEDO DOS SANTOS</t>
  </si>
  <si>
    <t>CBT28000000</t>
  </si>
  <si>
    <t>IDI99999992IN00RJ</t>
  </si>
  <si>
    <t>Arquitetura</t>
  </si>
  <si>
    <t>07.74.08.00.00.00.00.00.0000</t>
  </si>
  <si>
    <t>CESAR AUGUSTO BENTO DO NASCIMENTO</t>
  </si>
  <si>
    <t>CBT28140000</t>
  </si>
  <si>
    <t>IDI99999100IN00RJ</t>
  </si>
  <si>
    <t>Arquitetura de Sistemas</t>
  </si>
  <si>
    <t>07.74.08.01.00.00.00.00.0000</t>
  </si>
  <si>
    <t>CBT05570000</t>
  </si>
  <si>
    <t>Arquitetura de Infra</t>
  </si>
  <si>
    <t>07.74.08.02.00.00.00.00.0000</t>
  </si>
  <si>
    <t>ALEXANDRE ANTONIO DO NASCIMENTO</t>
  </si>
  <si>
    <t>CBT28150000</t>
  </si>
  <si>
    <t>IDI99999100IN01RJ</t>
  </si>
  <si>
    <t>Infra e Operações</t>
  </si>
  <si>
    <t>07.74.09.00.00.00.00.00.0000</t>
  </si>
  <si>
    <t>ALEXANDRE LUIZ FURTADO DOMINGUES</t>
  </si>
  <si>
    <t>CBT28090000</t>
  </si>
  <si>
    <t>BSS, OSS, Integração e Digital</t>
  </si>
  <si>
    <t>07.74.09.01.00.00.00.00.0000</t>
  </si>
  <si>
    <t>ANA CAROLINA SARNO DE MATTOS</t>
  </si>
  <si>
    <t>CBT28100000</t>
  </si>
  <si>
    <t>Integração e Digital</t>
  </si>
  <si>
    <t>07.74.09.01.01.00.00.00.0000</t>
  </si>
  <si>
    <t>LEONARDO IUNES TRAD COSTA</t>
  </si>
  <si>
    <t>OSS Interprise</t>
  </si>
  <si>
    <t>07.74.09.01.02.00.00.00.0000</t>
  </si>
  <si>
    <t>CID ANTUNES HORTA JUNIOR</t>
  </si>
  <si>
    <t>Ciclo da Receita e Tributário</t>
  </si>
  <si>
    <t>07.74.09.01.03.00.00.00.0000</t>
  </si>
  <si>
    <t>WAGNER GOMES TRIANO</t>
  </si>
  <si>
    <t>CRM Fibra</t>
  </si>
  <si>
    <t>07.74.09.01.04.00.00.00.0000</t>
  </si>
  <si>
    <t>TAIAN NUNES BURICHE</t>
  </si>
  <si>
    <t>CBT00580000</t>
  </si>
  <si>
    <t>Suporte Técnico de Sistemas</t>
  </si>
  <si>
    <t>07.74.09.02.00.00.00.00.0000</t>
  </si>
  <si>
    <t>ADRIANA SILVA NEIVA</t>
  </si>
  <si>
    <t>CBT28120000</t>
  </si>
  <si>
    <t>Sistema Operacional, Storage e Mainframe</t>
  </si>
  <si>
    <t>07.74.09.02.01.00.00.00.0000</t>
  </si>
  <si>
    <t>JOAQUIM MAGALHAES NETO</t>
  </si>
  <si>
    <t>Banco de Dados e Backup</t>
  </si>
  <si>
    <t>07.74.09.02.02.00.00.00.0000</t>
  </si>
  <si>
    <t>MENDELSSOHN RINCO LOPES</t>
  </si>
  <si>
    <t>Rede IP e Data Center</t>
  </si>
  <si>
    <t>07.74.09.02.03.00.00.00.0000</t>
  </si>
  <si>
    <t>GLAUBER FIGUEIREDO DA SILVA</t>
  </si>
  <si>
    <t>Desempenho e Atentdimento de TI</t>
  </si>
  <si>
    <t>07.74.09.03.00.00.00.00.0000</t>
  </si>
  <si>
    <t>MARCO ANTONIO TELES DE ARAUJO</t>
  </si>
  <si>
    <t>CBT28130000</t>
  </si>
  <si>
    <t>Eficiência Tecnologia e MicroInformática</t>
  </si>
  <si>
    <t>07.74.09.03.01.00.00.00.0000</t>
  </si>
  <si>
    <t>REAN FERREIRA JUNQUEIRA MACHADO</t>
  </si>
  <si>
    <t>Release e Serviços de TI</t>
  </si>
  <si>
    <t>07.74.09.03.02.00.00.00.0000</t>
  </si>
  <si>
    <t>GLEYCIANE TEIXEIRA DA SILVA BORGES</t>
  </si>
  <si>
    <t>Devops</t>
  </si>
  <si>
    <t>07.74.09.04.00.00.00.00.0000</t>
  </si>
  <si>
    <t>LEANDRO MIRANDA AGUIRRE</t>
  </si>
  <si>
    <t>CBT28220000</t>
  </si>
  <si>
    <t>IDI99999101IN00RJ</t>
  </si>
  <si>
    <t>Data Analytics e Governança</t>
  </si>
  <si>
    <t>07.74.10.00.00.00.00.00.0000</t>
  </si>
  <si>
    <t>ULISSES FONSECA ALVES</t>
  </si>
  <si>
    <t>CBT47850000</t>
  </si>
  <si>
    <t>IDI99999102IN00RJ</t>
  </si>
  <si>
    <t>Aquisição de Dados e Design da Informação</t>
  </si>
  <si>
    <t>07.74.10.05.00.00.00.00.0000</t>
  </si>
  <si>
    <t>JUSCELINO RIBEIRO CARVALHO</t>
  </si>
  <si>
    <t>CBT18170000</t>
  </si>
  <si>
    <t>Inteligência Analítica e Insights</t>
  </si>
  <si>
    <t>07.74.10.06.00.00.00.00.0000</t>
  </si>
  <si>
    <t>BRUNO DE ALMEIDA PALOMBO</t>
  </si>
  <si>
    <t>CBT24840000</t>
  </si>
  <si>
    <t>Qualidade Analítica</t>
  </si>
  <si>
    <t>07.74.10.07.00.00.00.00.0000</t>
  </si>
  <si>
    <t>ALESSANDRA SAMPAIO PERRELLI</t>
  </si>
  <si>
    <t>CBT05840000</t>
  </si>
  <si>
    <t>Oi Soluções</t>
  </si>
  <si>
    <t>07.76.00.00.00.00.00.00.0000</t>
  </si>
  <si>
    <t>MARCELO AUGUSTO LEITE DE MORAES</t>
  </si>
  <si>
    <t>CBT01880000</t>
  </si>
  <si>
    <t>Planejamento e Desempenho Oi Soluções</t>
  </si>
  <si>
    <t>07.76.01.00.00.00.00.00.0000</t>
  </si>
  <si>
    <t>CBT01280000</t>
  </si>
  <si>
    <t>Planejamento Competitivo e Suporte</t>
  </si>
  <si>
    <t>07.76.01.03.00.00.00.00.0000</t>
  </si>
  <si>
    <t>MARCOS GILBERTO MORENO</t>
  </si>
  <si>
    <t>CBT01340000</t>
  </si>
  <si>
    <t>Desempenho do Negócio</t>
  </si>
  <si>
    <t>07.76.01.04.00.00.00.00.0000</t>
  </si>
  <si>
    <t>FERNANDA MOREIRA ALVES NALESSO</t>
  </si>
  <si>
    <t>CBT11280000</t>
  </si>
  <si>
    <t>Desempenho Comercial Oi Soluções</t>
  </si>
  <si>
    <t>07.76.01.05.00.00.00.00.0000</t>
  </si>
  <si>
    <t>MARCIO WEBLER EMMANUEL</t>
  </si>
  <si>
    <t>CBT10770000</t>
  </si>
  <si>
    <t>Inteligência Mercado e Governança</t>
  </si>
  <si>
    <t>07.76.01.07.00.00.00.00.0000</t>
  </si>
  <si>
    <t>JAQUELINE MORAES COTTA</t>
  </si>
  <si>
    <t>CBT28340000</t>
  </si>
  <si>
    <t>Produtos e Arquitetura de Soluções</t>
  </si>
  <si>
    <t>07.76.03.00.00.00.00.00.0000</t>
  </si>
  <si>
    <t>RENATO SIMOES GOMES FILHO</t>
  </si>
  <si>
    <t>CBT11690000</t>
  </si>
  <si>
    <t>Licitação</t>
  </si>
  <si>
    <t>07.76.03.02.00.00.00.00.0000</t>
  </si>
  <si>
    <t>KELLI VERUSCA DA COSTA RIBEIRO MATTOS FLORES</t>
  </si>
  <si>
    <t>CBT02890000</t>
  </si>
  <si>
    <t>Transição e Otimização de Custos de Projetos</t>
  </si>
  <si>
    <t>07.76.03.08.00.00.00.00.0000</t>
  </si>
  <si>
    <t>LEANDRO DOS REIS ARAUJO</t>
  </si>
  <si>
    <t>CBT18340000</t>
  </si>
  <si>
    <t>LoB1 - UC&amp;C e Segurança</t>
  </si>
  <si>
    <t>07.76.03.09.00.00.00.00.0000</t>
  </si>
  <si>
    <t>DANIEL JURKFITZ LOFF</t>
  </si>
  <si>
    <t>CBT17180000</t>
  </si>
  <si>
    <t>Arquitetura e Marketing Produtos UC&amp;C</t>
  </si>
  <si>
    <t>07.76.03.09.01.00.00.00.0000</t>
  </si>
  <si>
    <t>EVERTON CAMARA CANTO</t>
  </si>
  <si>
    <t>Arquitetura e Marketing Produtos Segurança</t>
  </si>
  <si>
    <t>07.76.03.09.02.00.00.00.0000</t>
  </si>
  <si>
    <t>LUCIANO GOMES DA SILVA</t>
  </si>
  <si>
    <t>LoB2 - SDWAN, Dados e WIFI</t>
  </si>
  <si>
    <t>07.76.03.10.00.00.00.00.0000</t>
  </si>
  <si>
    <t>ALEXANDER DOS SANTOS ARGOLLO</t>
  </si>
  <si>
    <t>CBT17170000</t>
  </si>
  <si>
    <t>Marketing Produtos SDWAN, Dados e WIFI</t>
  </si>
  <si>
    <t>07.76.03.10.01.00.00.00.0000</t>
  </si>
  <si>
    <t>RAMON BAHIENSE MORAES</t>
  </si>
  <si>
    <t>Arquitetura de Soluções SDWAN, Dados e WIFI</t>
  </si>
  <si>
    <t>07.76.03.10.02.00.00.00.0000</t>
  </si>
  <si>
    <t>IVAN DE LIMA GIOPPO</t>
  </si>
  <si>
    <t>CBT18310000</t>
  </si>
  <si>
    <t>LoB3 - Cloud, IA, IoT e Observabilidade</t>
  </si>
  <si>
    <t>07.76.03.12.00.00.00.00.0000</t>
  </si>
  <si>
    <t>EVERALDO DA GUARDA JUNIOR</t>
  </si>
  <si>
    <t>CBT18300000</t>
  </si>
  <si>
    <t>Mkt Produtos Cloud, IA, IoT e Observabilidade</t>
  </si>
  <si>
    <t>07.76.03.12.01.00.00.00.0000</t>
  </si>
  <si>
    <t>PATRICIA MOURA ARAUJO</t>
  </si>
  <si>
    <t>Serviços ao Cliente Oi Soluções</t>
  </si>
  <si>
    <t>07.76.04.00.00.00.00.00.0000</t>
  </si>
  <si>
    <t>FERNANDA DE MAGALHAES QUEIROZ</t>
  </si>
  <si>
    <t>CBT01740000</t>
  </si>
  <si>
    <t>Gerenciamento de Contratos &amp; Contas</t>
  </si>
  <si>
    <t>07.76.04.01.00.00.00.00.0000</t>
  </si>
  <si>
    <t>ANDRE MARCATTI JARDIM</t>
  </si>
  <si>
    <t>CBT07020000</t>
  </si>
  <si>
    <t>Gerenciamento da Jornada de Contas</t>
  </si>
  <si>
    <t>07.76.04.01.01.00.00.00.0000</t>
  </si>
  <si>
    <t>UBIRATAN SALVIANO BORGES DE ARAUJO</t>
  </si>
  <si>
    <t>Admin Contratos &amp; Prebilling Governo</t>
  </si>
  <si>
    <t>07.76.04.01.02.00.00.00.0000</t>
  </si>
  <si>
    <t>ANDREIA MONTEIRO DO NASCIMENTO KRUGER</t>
  </si>
  <si>
    <t>Admin Contratos &amp; Prebilling Privado</t>
  </si>
  <si>
    <t>07.76.04.01.03.00.00.00.0000</t>
  </si>
  <si>
    <t>JAMILLI TATIANA DE MIRANDA LEITE</t>
  </si>
  <si>
    <t>Gestão da Contestação e Serviços de Contas</t>
  </si>
  <si>
    <t>07.76.04.01.04.00.00.00.0000</t>
  </si>
  <si>
    <t>ANDREA COSTA CARVALHO BETTONI</t>
  </si>
  <si>
    <t>Delivery das Soluções Digitais</t>
  </si>
  <si>
    <t>07.76.04.02.00.00.00.00.0000</t>
  </si>
  <si>
    <t>GUSTAVO HENRIQUE DA FREIRIA</t>
  </si>
  <si>
    <t>CBT07000000</t>
  </si>
  <si>
    <t>Gestão da Entrega Privado</t>
  </si>
  <si>
    <t>07.76.04.02.03.00.00.00.0000</t>
  </si>
  <si>
    <t>RODRIGO APARECIDO PRATES</t>
  </si>
  <si>
    <t>Gestão da Entrega Gov SE/NE/NO</t>
  </si>
  <si>
    <t>07.76.04.02.04.00.00.00.0000</t>
  </si>
  <si>
    <t>GUSTAVO KOCH BARROSO LINS</t>
  </si>
  <si>
    <t>Gestão da Entrega Gov SUL/SP/GF/DF/CO</t>
  </si>
  <si>
    <t>07.76.04.02.05.00.00.00.0000</t>
  </si>
  <si>
    <t>CARLOS ALBERTO AGUIAR FELIX</t>
  </si>
  <si>
    <t>Cadastro de Soluções Digitais</t>
  </si>
  <si>
    <t>07.76.04.02.06.00.00.00.0000</t>
  </si>
  <si>
    <t>ANDREA CRISTINA MONTEIRO</t>
  </si>
  <si>
    <t>Gestão da Entrega Finanças &amp; TI Especializado</t>
  </si>
  <si>
    <t>07.76.04.02.07.00.00.00.0000</t>
  </si>
  <si>
    <t>FABIO ALEXANDRE DA PAIXAO</t>
  </si>
  <si>
    <t>Gerenciamento da Jornada de Entrega</t>
  </si>
  <si>
    <t>07.76.04.02.09.00.00.00.0000</t>
  </si>
  <si>
    <t>SAMARA GOVEA DO NASCIMENTO</t>
  </si>
  <si>
    <t>Gerenciamento do Relacionamento com o Cliente</t>
  </si>
  <si>
    <t>07.76.04.03.00.00.00.00.0000</t>
  </si>
  <si>
    <t>CLAUDIA BRAGA MONTEIRO</t>
  </si>
  <si>
    <t>CBT12400000</t>
  </si>
  <si>
    <t>Relacionamento com o Cliente Gov SUL/SP/SE/NE/NO</t>
  </si>
  <si>
    <t>07.76.04.03.02.00.00.00.0000</t>
  </si>
  <si>
    <t>MONA LISA FAGUNDES DE BRITO</t>
  </si>
  <si>
    <t>Relacionamento com o Cliente Finanças</t>
  </si>
  <si>
    <t>07.76.04.03.04.00.00.00.0000</t>
  </si>
  <si>
    <t>MICHELLE VITORINO D ALEXANDRO</t>
  </si>
  <si>
    <t>CBT04410000</t>
  </si>
  <si>
    <t>Relacionamento com o Cliente Privado</t>
  </si>
  <si>
    <t>07.76.04.03.05.00.00.00.0000</t>
  </si>
  <si>
    <t>JANE MALAFAIA SOUZA CRUZ</t>
  </si>
  <si>
    <t>CBT04110000</t>
  </si>
  <si>
    <t>Relacionamento com Gov GF/DF/CO | Atend Dig/Online</t>
  </si>
  <si>
    <t>07.76.04.03.09.00.00.00.0000</t>
  </si>
  <si>
    <t>JAMIL CALIXTO NETTO</t>
  </si>
  <si>
    <t>CBT17290000</t>
  </si>
  <si>
    <t>Vendas Privado Nacional</t>
  </si>
  <si>
    <t>07.76.06.00.00.00.00.00.0000</t>
  </si>
  <si>
    <t>KARIN CAMBA DE ALMEIDA</t>
  </si>
  <si>
    <t>CBT04160000</t>
  </si>
  <si>
    <t>Vendas Privado SP II</t>
  </si>
  <si>
    <t>07.76.06.01.00.00.00.00.0000</t>
  </si>
  <si>
    <t>SAMUEL LUIS CANO NUNES</t>
  </si>
  <si>
    <t>CBT04170000</t>
  </si>
  <si>
    <t>Vendas Privado RJ</t>
  </si>
  <si>
    <t>07.76.06.02.00.00.00.00.0000</t>
  </si>
  <si>
    <t>MARCELO DUARTE PONTES</t>
  </si>
  <si>
    <t>CBT16190000</t>
  </si>
  <si>
    <t>Vendas Privado Nordeste</t>
  </si>
  <si>
    <t>07.76.06.03.00.00.00.00.0000</t>
  </si>
  <si>
    <t>GUSTAVO GIRALDES BETTONI</t>
  </si>
  <si>
    <t>CBT02520000</t>
  </si>
  <si>
    <t>Vendas Privado MG/ES</t>
  </si>
  <si>
    <t>07.76.06.04.00.00.00.00.0000</t>
  </si>
  <si>
    <t>RAVAN DE ALMEIDA GOMES</t>
  </si>
  <si>
    <t>CBT16460000</t>
  </si>
  <si>
    <t>Vendas Privado SP I</t>
  </si>
  <si>
    <t>07.76.06.05.00.00.00.00.0000</t>
  </si>
  <si>
    <t>CBT24140000</t>
  </si>
  <si>
    <t>Vendas Privado CO/NO</t>
  </si>
  <si>
    <t>07.76.06.06.00.00.00.00.0000</t>
  </si>
  <si>
    <t>JEANDRE UCHOA SIDON</t>
  </si>
  <si>
    <t>CBT24150000</t>
  </si>
  <si>
    <t>Vendas Privado SUL</t>
  </si>
  <si>
    <t>07.76.06.07.00.00.00.00.0000</t>
  </si>
  <si>
    <t>DANIEL BRENTANO</t>
  </si>
  <si>
    <t>CBT04140000</t>
  </si>
  <si>
    <t>Vendas Finanças I</t>
  </si>
  <si>
    <t>07.76.06.08.00.00.00.00.0000</t>
  </si>
  <si>
    <t>RODRIGO VINHAS DE MORAES</t>
  </si>
  <si>
    <t>CBT04460000</t>
  </si>
  <si>
    <t>Vendas Finanças II</t>
  </si>
  <si>
    <t>07.76.06.09.00.00.00.00.0000</t>
  </si>
  <si>
    <t>FLAVIO DA COSTA MUROLLO</t>
  </si>
  <si>
    <t>CBT04490000</t>
  </si>
  <si>
    <t>Vendas Governo Nacional</t>
  </si>
  <si>
    <t>07.76.12.00.00.00.00.00.0000</t>
  </si>
  <si>
    <t>RICARDO FREIRE DE OLIVEIRA MENEZES</t>
  </si>
  <si>
    <t>CBT45710000</t>
  </si>
  <si>
    <t>Vendas Governo DF</t>
  </si>
  <si>
    <t>07.76.12.01.00.00.00.00.0000</t>
  </si>
  <si>
    <t>SERGIO AUGUSTO FERREIRA DA SILVA</t>
  </si>
  <si>
    <t>CBT45720000</t>
  </si>
  <si>
    <t>Vendas Governo AC/RO/MT/MS/GO/TO</t>
  </si>
  <si>
    <t>07.76.12.02.00.00.00.00.0000</t>
  </si>
  <si>
    <t>ROSALVO OLIVEIRA SILVA JUNIOR</t>
  </si>
  <si>
    <t>CBT45730000</t>
  </si>
  <si>
    <t>Vendas Governo MG/ES/RJ</t>
  </si>
  <si>
    <t>07.76.12.05.00.00.00.00.0000</t>
  </si>
  <si>
    <t>TARCISIO MESQUITA MONTEIRO</t>
  </si>
  <si>
    <t>CBT45690000</t>
  </si>
  <si>
    <t>Vendas Governo SP/SUL</t>
  </si>
  <si>
    <t>07.76.12.06.00.00.00.00.0000</t>
  </si>
  <si>
    <t>LUIS AUGUSTO SANDER</t>
  </si>
  <si>
    <t>CBT03700000</t>
  </si>
  <si>
    <t>Vendas Governo AL/PB/PE/RN</t>
  </si>
  <si>
    <t>07.76.12.08.00.00.00.00.0000</t>
  </si>
  <si>
    <t>CRISTIANA MARIA DE VASCONCELOS FERRO</t>
  </si>
  <si>
    <t>CBT24110000</t>
  </si>
  <si>
    <t>Vendas Governo AM/AP/PA/RR/CE/PI/MA</t>
  </si>
  <si>
    <t>07.76.12.09.00.00.00.00.0000</t>
  </si>
  <si>
    <t>FRANCISCO HERICSSON DE LIMA</t>
  </si>
  <si>
    <t>CBT03450000</t>
  </si>
  <si>
    <t>Vendas Governo BA/SE</t>
  </si>
  <si>
    <t>07.76.12.10.00.00.00.00.0000</t>
  </si>
  <si>
    <t>IVAN CICERO SILVA LARANJEIRA</t>
  </si>
  <si>
    <t>CBT45670000</t>
  </si>
  <si>
    <t>Go To Market e Parcerias</t>
  </si>
  <si>
    <t>07.76.14.00.00.00.00.00.0000</t>
  </si>
  <si>
    <t>DANIELLA ALMEIDA ARRABAL</t>
  </si>
  <si>
    <t>CBT01290000</t>
  </si>
  <si>
    <t>Relacionamento e Gestão de Provedores</t>
  </si>
  <si>
    <t>07.76.17.00.00.00.00.00.0000</t>
  </si>
  <si>
    <t>CBT45750000</t>
  </si>
  <si>
    <t>Novos Negócios e Interconexão Atacado</t>
  </si>
  <si>
    <t>07.76.18.00.00.00.00.00.0000</t>
  </si>
  <si>
    <t>ANDRE DA SILVA TELLES</t>
  </si>
  <si>
    <t>CBT16470000</t>
  </si>
  <si>
    <t>Operações de Rede e SI</t>
  </si>
  <si>
    <t>07.78.00.00.00.00.00.00.0000</t>
  </si>
  <si>
    <t>GUSTAVO ROBERTO BRAMBILA</t>
  </si>
  <si>
    <t>CBT46330000</t>
  </si>
  <si>
    <t>Segurança da Informação</t>
  </si>
  <si>
    <t>07.78.02.00.00.00.00.00.0000</t>
  </si>
  <si>
    <t>RIVER DE MORAIS E SILVA</t>
  </si>
  <si>
    <t>CBT29780000</t>
  </si>
  <si>
    <t>Segurança de Sistemas e Infraestrutura</t>
  </si>
  <si>
    <t>07.78.02.01.00.00.00.00.0000</t>
  </si>
  <si>
    <t>NIVALDO SOLIVA DOS SANTOS</t>
  </si>
  <si>
    <t>CBT29790000</t>
  </si>
  <si>
    <t>Serviços de Tecnologia e Segurança da informação</t>
  </si>
  <si>
    <t>07.78.02.02.00.00.00.00.0000</t>
  </si>
  <si>
    <t>DIOGO CIATI CANONIO</t>
  </si>
  <si>
    <t>CBT28020000</t>
  </si>
  <si>
    <t>Operações B2B</t>
  </si>
  <si>
    <t>07.78.03.00.00.00.00.00.0000</t>
  </si>
  <si>
    <t>HELIO DONISETE MAGATTI</t>
  </si>
  <si>
    <t>CBT11410000</t>
  </si>
  <si>
    <t>IDI99999991IN01RJ</t>
  </si>
  <si>
    <t>Atendimento Personalizado</t>
  </si>
  <si>
    <t>07.78.03.01.00.00.00.00.0000</t>
  </si>
  <si>
    <t>ADRIANO ANACLETO DA SILVA</t>
  </si>
  <si>
    <t>CBT00260000</t>
  </si>
  <si>
    <t>Atendimento Premium</t>
  </si>
  <si>
    <t>07.78.03.02.00.00.00.00.0000</t>
  </si>
  <si>
    <t>MOISES BONOW MUNCHOW</t>
  </si>
  <si>
    <t>CBT00240000</t>
  </si>
  <si>
    <t>Atendimento Especializado B2B</t>
  </si>
  <si>
    <t>07.78.03.03.00.00.00.00.0000</t>
  </si>
  <si>
    <t>LUCIANA JUREMA FALCAO</t>
  </si>
  <si>
    <t>CBT00250000</t>
  </si>
  <si>
    <t>Operação de Terceiros</t>
  </si>
  <si>
    <t>07.78.03.04.00.00.00.00.0000</t>
  </si>
  <si>
    <t>ALYSSON FERNANDES PEIXOTO</t>
  </si>
  <si>
    <t>CBT18270000</t>
  </si>
  <si>
    <t>Soluções e Projetos</t>
  </si>
  <si>
    <t>07.78.04.00.00.00.00.00.0000</t>
  </si>
  <si>
    <t>GUILHERME FILGUEIRAS</t>
  </si>
  <si>
    <t>CAPEX</t>
  </si>
  <si>
    <t>IDI99999991IN04RJ</t>
  </si>
  <si>
    <t>Planej., Proj. e Implan. de Plataformas e Serviços</t>
  </si>
  <si>
    <t>07.78.04.01.00.00.00.00.0000</t>
  </si>
  <si>
    <t>FABIO ALVES GONCALVES</t>
  </si>
  <si>
    <t>Planej., Proj. e Implan. de Redes</t>
  </si>
  <si>
    <t>07.78.04.02.00.00.00.00.0000</t>
  </si>
  <si>
    <t>ANATOLY FELIPE RIBEIRO CARDOSO</t>
  </si>
  <si>
    <t>Arquitetura de Tecnologia e Soluções</t>
  </si>
  <si>
    <t>07.78.04.03.00.00.00.00.0000</t>
  </si>
  <si>
    <t>MARCIO RODRIGO BORGES</t>
  </si>
  <si>
    <t>Operações B2C</t>
  </si>
  <si>
    <t>07.78.05.00.00.00.00.00.0000</t>
  </si>
  <si>
    <t>RAFAEL FREITAS DE AMORIM</t>
  </si>
  <si>
    <t>CBT28050000</t>
  </si>
  <si>
    <t>IDI99999991IN05RJ</t>
  </si>
  <si>
    <t>O&amp;M Ambiente do Cliente</t>
  </si>
  <si>
    <t>07.78.05.01.00.00.00.00.0000</t>
  </si>
  <si>
    <t>LUIZ EDUARDO ANTONIO MARTINS</t>
  </si>
  <si>
    <t>CBT28060000</t>
  </si>
  <si>
    <t>Monitoração dos Serviços</t>
  </si>
  <si>
    <t>07.78.05.03.00.00.00.00.0000</t>
  </si>
  <si>
    <t>GUSTAVO AFONSO COSTA CORTEZ</t>
  </si>
  <si>
    <t>CBT28070000</t>
  </si>
  <si>
    <t>Gestão e Suporte dos Serviços</t>
  </si>
  <si>
    <t>07.78.05.03.01.00.00.00.0000</t>
  </si>
  <si>
    <t>FABIO GABRI DE PAIVA</t>
  </si>
  <si>
    <t>Monitoração e Comunicação de Falhas</t>
  </si>
  <si>
    <t>07.78.05.03.02.00.00.00.0000</t>
  </si>
  <si>
    <t>PEDRO PUJOL PACHECO SILVEIRA</t>
  </si>
  <si>
    <t>O&amp;M Remoto</t>
  </si>
  <si>
    <t>07.78.05.04.00.00.00.00.0000</t>
  </si>
  <si>
    <t>FABRICIO DE CARVALHO LADISLAU</t>
  </si>
  <si>
    <t>CBT28080000</t>
  </si>
  <si>
    <t>O&amp;M Remoto Plataforma, Transmissão e Dados Legados</t>
  </si>
  <si>
    <t>07.78.05.04.01.00.00.00.0000</t>
  </si>
  <si>
    <t>PAULO LEONEL CAMPOREZ MARQUES</t>
  </si>
  <si>
    <t>Relacionamento Técnico de Serviços</t>
  </si>
  <si>
    <t>07.78.05.04.04.00.00.00.0000</t>
  </si>
  <si>
    <t>JOAO ARLINDO BRITO JUNIOR</t>
  </si>
  <si>
    <t>CBT15990000</t>
  </si>
  <si>
    <t>Desempenho e Ecossistema de Parceiros</t>
  </si>
  <si>
    <t>07.78.06.00.00.00.00.00.0000</t>
  </si>
  <si>
    <t>THIAGO VASCONCELOS</t>
  </si>
  <si>
    <t>CBT48460000</t>
  </si>
  <si>
    <t>IDI99999991IN00RJ</t>
  </si>
  <si>
    <t>Gestão InfraCOs</t>
  </si>
  <si>
    <t>07.78.06.01.00.00.00.00.0000</t>
  </si>
  <si>
    <t>PRISCILA FALCO TONIDANDEL</t>
  </si>
  <si>
    <t>CBT28030000</t>
  </si>
  <si>
    <t>IDI99999991IN02RJ</t>
  </si>
  <si>
    <t>Gestão Desempenho e S&amp;OP</t>
  </si>
  <si>
    <t>07.78.06.02.00.00.00.00.0000</t>
  </si>
  <si>
    <t>THIAGO HENRIQUE DE MENDONCA MARINHO</t>
  </si>
  <si>
    <t>CBT28040000</t>
  </si>
  <si>
    <t>IDI99999991IN03RJ</t>
  </si>
  <si>
    <t>Logística</t>
  </si>
  <si>
    <t>07.78.06.03.00.00.00.00.0000</t>
  </si>
  <si>
    <t>EDUARDO PEDREIRA DE OLIVEIRA</t>
  </si>
  <si>
    <t>CBT05270000</t>
  </si>
  <si>
    <t>Planejamento de Fornecimento e Abastecimento</t>
  </si>
  <si>
    <t>07.78.06.03.01.00.00.00.0000</t>
  </si>
  <si>
    <t>LEONARDO MEDEIROS SEREJO</t>
  </si>
  <si>
    <t>Reversa e Sobressalentes</t>
  </si>
  <si>
    <t>07.78.06.03.02.00.00.00.0000</t>
  </si>
  <si>
    <t>CLARITA DE OLIVEIRA FERREIRA</t>
  </si>
  <si>
    <t>Operação Legado</t>
  </si>
  <si>
    <t>07.78.08.00.00.00.00.00.0000</t>
  </si>
  <si>
    <t>ALEXANDRE DO CARMO RANGEL</t>
  </si>
  <si>
    <t>CBT28450000</t>
  </si>
  <si>
    <t>Planejamento / Gestão e O&amp;M Acesso</t>
  </si>
  <si>
    <t>07.78.08.01.00.00.00.00.0000</t>
  </si>
  <si>
    <t>ANDRE LUIZ ALVIM</t>
  </si>
  <si>
    <t>CBT28280000</t>
  </si>
  <si>
    <t>O&amp;M Acesso Legado</t>
  </si>
  <si>
    <t>07.78.08.01.01.00.00.00.0000</t>
  </si>
  <si>
    <t>MAX DA SILVA VIANA</t>
  </si>
  <si>
    <t>CBT28320000</t>
  </si>
  <si>
    <t>Soluções Projeto Legado</t>
  </si>
  <si>
    <t>07.78.08.02.00.00.00.00.0000</t>
  </si>
  <si>
    <t>JOSE DIVINO POSSEBON MARTINS</t>
  </si>
  <si>
    <t>CBT28490000</t>
  </si>
  <si>
    <t>Soluções e Projeto</t>
  </si>
  <si>
    <t>07.78.08.02.01.00.00.00.0000</t>
  </si>
  <si>
    <t>MICHELE VILLACHA RODRIGUES</t>
  </si>
  <si>
    <t>Desmobilização Legado</t>
  </si>
  <si>
    <t>07.78.08.02.02.00.00.00.0000</t>
  </si>
  <si>
    <t>SERGIO AUGUSTO SENA DE ARAUJO</t>
  </si>
  <si>
    <t>Desmobilização Core</t>
  </si>
  <si>
    <t>07.78.08.02.03.00.00.00.0000</t>
  </si>
  <si>
    <t>GEFERSON BONASSINA</t>
  </si>
  <si>
    <t>O&amp;M Infra Estrutura</t>
  </si>
  <si>
    <t>07.78.08.03.00.00.00.00.0000</t>
  </si>
  <si>
    <t>TERCIO VAGNER BRAGA RODRIGUES</t>
  </si>
  <si>
    <t>CBT28480000</t>
  </si>
  <si>
    <t>Cor Infra Legado</t>
  </si>
  <si>
    <t>07.78.08.03.01.00.00.00.0000</t>
  </si>
  <si>
    <t>MONICA BEATRIZ FORMOSO DAIBERT</t>
  </si>
  <si>
    <t>CBT46210000</t>
  </si>
  <si>
    <t>Regional Infra Legado SE</t>
  </si>
  <si>
    <t>07.78.08.03.02.00.00.00.0000</t>
  </si>
  <si>
    <t>LEANDRO RODRIGUES ROSA</t>
  </si>
  <si>
    <t>CBT00760000</t>
  </si>
  <si>
    <t>Infra Legado RJ/ES/SP</t>
  </si>
  <si>
    <t>07.78.08.03.02.01.00.00.0000</t>
  </si>
  <si>
    <t>ALEX MENDONCA BARRETO</t>
  </si>
  <si>
    <t>Infra Legado MG</t>
  </si>
  <si>
    <t>07.78.08.03.02.02.00.00.0000</t>
  </si>
  <si>
    <t>RICARDO DOMINGUES FERREIRA</t>
  </si>
  <si>
    <t>Regional Infra Legado CE/NO</t>
  </si>
  <si>
    <t>07.78.08.03.03.00.00.00.0000</t>
  </si>
  <si>
    <t>ADRIANO DA SILVA CANTIDIO</t>
  </si>
  <si>
    <t>CBT28290000</t>
  </si>
  <si>
    <t>Infra Legado PA/MA</t>
  </si>
  <si>
    <t>07.78.08.03.03.01.00.00.0000</t>
  </si>
  <si>
    <t>AJAX DOS SANTOS BARBOSA</t>
  </si>
  <si>
    <t>Infra Legado AM/AP/RR</t>
  </si>
  <si>
    <t>07.78.08.03.03.02.00.00.0000</t>
  </si>
  <si>
    <t>EVILASIO NOVAIS BARBOSA</t>
  </si>
  <si>
    <t>Infra Legado CE/PI</t>
  </si>
  <si>
    <t>07.78.08.03.03.03.00.00.0000</t>
  </si>
  <si>
    <t>ANGELO MARIO PEREIRA BERNARDES</t>
  </si>
  <si>
    <t>Regional Infra Legado CO/SUL</t>
  </si>
  <si>
    <t>07.78.08.03.04.00.00.00.0000</t>
  </si>
  <si>
    <t>SELMON FRANCO MASCARENHAS</t>
  </si>
  <si>
    <t>CBT28300000</t>
  </si>
  <si>
    <t>Infra Legado SUL</t>
  </si>
  <si>
    <t>07.78.08.03.04.01.00.00.0000</t>
  </si>
  <si>
    <t>FABIANO GRANDE GUIOTTI</t>
  </si>
  <si>
    <t>Infra Legado AC/RO/MT/MS</t>
  </si>
  <si>
    <t>07.78.08.03.04.02.00.00.0000</t>
  </si>
  <si>
    <t>JOACYR ALENCAR OLIVEIRA</t>
  </si>
  <si>
    <t>Infra Legado DF/TO/GO</t>
  </si>
  <si>
    <t>07.78.08.03.04.03.00.00.0000</t>
  </si>
  <si>
    <t>RODRIGO LUIS NISHIYAMA</t>
  </si>
  <si>
    <t>Regional Infra Legado BA/PE</t>
  </si>
  <si>
    <t>07.78.08.03.05.00.00.00.0000</t>
  </si>
  <si>
    <t>LUIS PAULO WAGNER</t>
  </si>
  <si>
    <t>CBT46220000</t>
  </si>
  <si>
    <t>Infra Legado PE/PB/RN</t>
  </si>
  <si>
    <t>07.78.08.03.05.01.00.00.0000</t>
  </si>
  <si>
    <t>GUSTAVO LUIZ ARAUJO DOS SANTOS</t>
  </si>
  <si>
    <t>Infra Legado BA/AL/SE</t>
  </si>
  <si>
    <t>07.78.08.03.05.02.00.00.0000</t>
  </si>
  <si>
    <t>FABIO FERREIRA DOS SANTOS</t>
  </si>
  <si>
    <t>O&amp;M dos Projetos B2B</t>
  </si>
  <si>
    <t>07.78.08.03.05.03.00.00.0000</t>
  </si>
  <si>
    <t>MARCELO CARNEIRO DE SANTANA</t>
  </si>
  <si>
    <t>Oi Fibra</t>
  </si>
  <si>
    <t>07.79.00.00.00.00.00.00.0000</t>
  </si>
  <si>
    <t>FABRICIO BINDI</t>
  </si>
  <si>
    <t>CBT51620000</t>
  </si>
  <si>
    <t>Marketing Oi Fibra</t>
  </si>
  <si>
    <t>07.79.03.00.00.00.00.00.0000</t>
  </si>
  <si>
    <t>LUIS FILIPE MEIRA FERNANDEZ</t>
  </si>
  <si>
    <t>CBT48490000</t>
  </si>
  <si>
    <t>Gestão da Jornada de Compra Oi Fibra</t>
  </si>
  <si>
    <t>07.79.03.11.00.00.00.00.0000</t>
  </si>
  <si>
    <t>RENATO DA COSTA ELIAS</t>
  </si>
  <si>
    <t>CBT27890000</t>
  </si>
  <si>
    <t>Estratégia de Portifólio Massivo/Alto Valor e Emp</t>
  </si>
  <si>
    <t>07.79.03.11.01.00.00.00.0000</t>
  </si>
  <si>
    <t>THIEGO FERNANDES SAMPAIO</t>
  </si>
  <si>
    <t>Gestão de Produto Massivo</t>
  </si>
  <si>
    <t>07.79.03.11.02.00.00.00.0000</t>
  </si>
  <si>
    <t>FELICIA DAQUINO NONATO ROSETTI</t>
  </si>
  <si>
    <t>Gestão de Produtos Alto Valor e Empresarial</t>
  </si>
  <si>
    <t>07.79.03.11.03.00.00.00.0000</t>
  </si>
  <si>
    <t>DANIELA GRECO GUASTI</t>
  </si>
  <si>
    <t>Gestão de Canais Estabelecidos</t>
  </si>
  <si>
    <t>07.79.03.12.00.00.00.00.0000</t>
  </si>
  <si>
    <t>ALEXANDRE GUAZELLI</t>
  </si>
  <si>
    <t>CBT13830000</t>
  </si>
  <si>
    <t>Estruturação e Desenvolvimento de Novos Canais</t>
  </si>
  <si>
    <t>07.79.03.13.00.00.00.00.0000</t>
  </si>
  <si>
    <t>BERNARDO PINA RODRIGUES DA SILVA</t>
  </si>
  <si>
    <t>CBT02170000</t>
  </si>
  <si>
    <t>Gestão da Experiência de Novos Clientes</t>
  </si>
  <si>
    <t>07.79.03.14.00.00.00.00.0000</t>
  </si>
  <si>
    <t>BRUNO DE MATOS FIGUEIREDO</t>
  </si>
  <si>
    <t>CBT02200000</t>
  </si>
  <si>
    <t>Qualidade de Vendas</t>
  </si>
  <si>
    <t>07.79.03.14.01.00.00.00.0000</t>
  </si>
  <si>
    <t>PATRICIA BOTTINI PENA</t>
  </si>
  <si>
    <t>CBT46250000</t>
  </si>
  <si>
    <t>Gestão de Projetos</t>
  </si>
  <si>
    <t>07.79.03.15.00.00.00.00.0000</t>
  </si>
  <si>
    <t>CBT28380000</t>
  </si>
  <si>
    <t>Gestão da Jornada de Uso Oi Fibra</t>
  </si>
  <si>
    <t>07.79.03.16.00.00.00.00.0000</t>
  </si>
  <si>
    <t>FRANCISCO JOSE THURLER TECLES JUNIOR</t>
  </si>
  <si>
    <t>CBT48470000</t>
  </si>
  <si>
    <t>Inteligência de Base</t>
  </si>
  <si>
    <t>07.79.03.16.01.00.00.00.0000</t>
  </si>
  <si>
    <t>Gestão da Experiência de Uso</t>
  </si>
  <si>
    <t>07.79.03.16.02.00.00.00.0000</t>
  </si>
  <si>
    <t>HUGO LEONARDO SPILLER NASCIMENTO</t>
  </si>
  <si>
    <t>Gestão da Rentabilização e Blindagem</t>
  </si>
  <si>
    <t>07.79.03.16.03.00.00.00.0000</t>
  </si>
  <si>
    <t>RAFAEL DE ALMEIDA RODRIGUES</t>
  </si>
  <si>
    <t>Gestão da Saída Voluntária</t>
  </si>
  <si>
    <t>07.79.03.16.04.00.00.00.0000</t>
  </si>
  <si>
    <t>PRISCILA MONTEZA CARDOSO</t>
  </si>
  <si>
    <t>Gestão da Saída Involuntária</t>
  </si>
  <si>
    <t>07.79.03.16.05.00.00.00.0000</t>
  </si>
  <si>
    <t>ANA CRISTINA GUIMARAES MURAD</t>
  </si>
  <si>
    <t>Marketplace Oi Place</t>
  </si>
  <si>
    <t>07.79.04.00.00.00.00.00.0000</t>
  </si>
  <si>
    <t>RAPHAEL PAGLIA</t>
  </si>
  <si>
    <t>CBT28400000</t>
  </si>
  <si>
    <t>Marketing Oi Place</t>
  </si>
  <si>
    <t>07.79.04.01.00.00.00.00.0000</t>
  </si>
  <si>
    <t>VANESSA DA COSTA CONTENTE</t>
  </si>
  <si>
    <t>CBT48500000</t>
  </si>
  <si>
    <t>Operações Oi Place</t>
  </si>
  <si>
    <t>07.79.04.02.00.00.00.00.0000</t>
  </si>
  <si>
    <t>ROBERTO LO BUIO DE PAIVA FILHO</t>
  </si>
  <si>
    <t>CBT48510000</t>
  </si>
  <si>
    <t>Negócios Oi Place</t>
  </si>
  <si>
    <t>07.79.04.03.00.00.00.00.0000</t>
  </si>
  <si>
    <t>DENISE ORTIZ JOERGES</t>
  </si>
  <si>
    <t>CBT48520000</t>
  </si>
  <si>
    <t>Canais de Venda e Atendimento</t>
  </si>
  <si>
    <t>07.79.05.00.00.00.00.00.0000</t>
  </si>
  <si>
    <t>GIOVANI CRISTIANO DA SILVA</t>
  </si>
  <si>
    <t>CBT48480000</t>
  </si>
  <si>
    <t>Canais Remotos e Regional Vendas SP</t>
  </si>
  <si>
    <t>07.79.05.01.00.00.00.00.0000</t>
  </si>
  <si>
    <t>LUIZ MARCELO DE AQUINO RODRIGUES SENCIER</t>
  </si>
  <si>
    <t>CBT13070000</t>
  </si>
  <si>
    <t>Rentabilização Canais Nacionais</t>
  </si>
  <si>
    <t>07.79.05.01.01.00.00.00.0000</t>
  </si>
  <si>
    <t>JULIANA PIMENTA RIBEIRO DE OLIVEIRA MARTINS</t>
  </si>
  <si>
    <t>CBT16960000</t>
  </si>
  <si>
    <t>Operação Própria TLV/Chat/Anteneiros</t>
  </si>
  <si>
    <t>07.79.05.01.02.00.00.00.0000</t>
  </si>
  <si>
    <t>VICTOR GOMES DA SILVA</t>
  </si>
  <si>
    <t>CBT13930000</t>
  </si>
  <si>
    <t>Operação Terceiros/Afiliados e Regional Vendas SP</t>
  </si>
  <si>
    <t>07.79.05.01.03.00.00.00.0000</t>
  </si>
  <si>
    <t>ALICE ROSIMEIRE GASTESI COLLI</t>
  </si>
  <si>
    <t>CBT02340000</t>
  </si>
  <si>
    <t>Estratégia de E-Commerce e Planejamento</t>
  </si>
  <si>
    <t>07.79.05.01.04.00.00.00.0000</t>
  </si>
  <si>
    <t>BERNARDO CARDOSO COUTINHO</t>
  </si>
  <si>
    <t>CBT18600000</t>
  </si>
  <si>
    <t>Regional Vendas RJ, MG e ES</t>
  </si>
  <si>
    <t>07.79.05.03.00.00.00.00.0000</t>
  </si>
  <si>
    <t>DENISE GARCIA</t>
  </si>
  <si>
    <t>CBT04020000</t>
  </si>
  <si>
    <t>Planejamento e Performance de Canais (RSE)</t>
  </si>
  <si>
    <t>07.79.05.03.01.00.00.00.0000</t>
  </si>
  <si>
    <t>FABIANO FINOCCHI</t>
  </si>
  <si>
    <t>CBT03990000</t>
  </si>
  <si>
    <t>N5 - LP/PAP</t>
  </si>
  <si>
    <t>LOJAS PROPRIAS E PAP LEGADO RSE</t>
  </si>
  <si>
    <t>07.79.05.03.01.01.00.00.0000</t>
  </si>
  <si>
    <t>CBT47040000</t>
  </si>
  <si>
    <t>RSE RJ1 Capital e Costa Verde</t>
  </si>
  <si>
    <t>07.79.05.03.02.00.00.00.0000</t>
  </si>
  <si>
    <t>CARLOS HENRIQUE LEAL PORTELA</t>
  </si>
  <si>
    <t>CBT04000000</t>
  </si>
  <si>
    <t>RSE RJ2 Baixada, Serrana e Região dos Lagos</t>
  </si>
  <si>
    <t>07.79.05.03.04.00.00.00.0000</t>
  </si>
  <si>
    <t>MARCELO CASTRO</t>
  </si>
  <si>
    <t>CBT11000000</t>
  </si>
  <si>
    <t>RSE MG Interior</t>
  </si>
  <si>
    <t>07.79.05.03.05.00.00.00.0000</t>
  </si>
  <si>
    <t>SAMUEL MARINHO BARBOSA</t>
  </si>
  <si>
    <t>CBT07530000</t>
  </si>
  <si>
    <t>RSE MG Capital e Metropolitana</t>
  </si>
  <si>
    <t>07.79.05.03.06.00.00.00.0000</t>
  </si>
  <si>
    <t>ERIKA DE FARIA</t>
  </si>
  <si>
    <t>CBT02440000</t>
  </si>
  <si>
    <t>RSE ES, RJ DDD22 Norte Fluminense</t>
  </si>
  <si>
    <t>07.79.05.03.07.00.00.00.0000</t>
  </si>
  <si>
    <t>MARCELO ADAM DE ALMEIDA QUEIROZ</t>
  </si>
  <si>
    <t>CBT02380000</t>
  </si>
  <si>
    <t>Trade RSE/RNN</t>
  </si>
  <si>
    <t>07.79.05.03.08.00.00.00.0000</t>
  </si>
  <si>
    <t>ALINE DE OLIVEIRA CENDON</t>
  </si>
  <si>
    <t>CBT04060000</t>
  </si>
  <si>
    <t>Regional Vendas Centro Sul (RCS)</t>
  </si>
  <si>
    <t>07.79.05.04.00.00.00.00.0000</t>
  </si>
  <si>
    <t>JULIO CEZAR MORAIS ROCHA</t>
  </si>
  <si>
    <t>CBT02760000</t>
  </si>
  <si>
    <t>Planejamento e Performance de Canais (RCS)</t>
  </si>
  <si>
    <t>07.79.05.04.01.00.00.00.0000</t>
  </si>
  <si>
    <t>ROBSON GLEYTON DOS SANTOS BENTO</t>
  </si>
  <si>
    <t>CBT02790000</t>
  </si>
  <si>
    <t>LOJAS PROPRIAS E PAP LEGADO RCS</t>
  </si>
  <si>
    <t>07.79.05.04.01.02.00.00.0000</t>
  </si>
  <si>
    <t>CBT48550000</t>
  </si>
  <si>
    <t>RCS GO Capital e Interior</t>
  </si>
  <si>
    <t>07.79.05.04.02.00.00.00.0000</t>
  </si>
  <si>
    <t>WARISTERN MAISON PONTES COSTA</t>
  </si>
  <si>
    <t>CBT02950000</t>
  </si>
  <si>
    <t>RCS Teleagentes Nacional</t>
  </si>
  <si>
    <t>07.79.05.04.03.00.00.00.0000</t>
  </si>
  <si>
    <t>EDILSON SILVA DIAS</t>
  </si>
  <si>
    <t>CBT02990000</t>
  </si>
  <si>
    <t>RCS DF/MT</t>
  </si>
  <si>
    <t>07.79.05.04.04.00.00.00.0000</t>
  </si>
  <si>
    <t>CAETANO SAMPAIO</t>
  </si>
  <si>
    <t>CBT02780000</t>
  </si>
  <si>
    <t>RCS MS/TO</t>
  </si>
  <si>
    <t>07.79.05.04.05.00.00.00.0000</t>
  </si>
  <si>
    <t>MARCIO LEANDRO HERMES</t>
  </si>
  <si>
    <t>CBT03930000</t>
  </si>
  <si>
    <t>RCS RO/AC</t>
  </si>
  <si>
    <t>07.79.05.04.07.00.00.00.0000</t>
  </si>
  <si>
    <t>ALDIMAR GOMES FORTES</t>
  </si>
  <si>
    <t>CBT02750000</t>
  </si>
  <si>
    <t>RCS PR Capital</t>
  </si>
  <si>
    <t>07.79.05.04.11.00.00.00.0000</t>
  </si>
  <si>
    <t>SIDILAINE ROELL</t>
  </si>
  <si>
    <t>CBT03180000</t>
  </si>
  <si>
    <t>RCS PR Interior</t>
  </si>
  <si>
    <t>07.79.05.04.12.00.00.00.0000</t>
  </si>
  <si>
    <t>FRANQUILEN VICENTE SANTOS</t>
  </si>
  <si>
    <t>CBT46130000</t>
  </si>
  <si>
    <t>RCS RS Capital</t>
  </si>
  <si>
    <t>07.79.05.04.13.00.00.00.0000</t>
  </si>
  <si>
    <t>JOAO PAULO EBOLI MACHADO</t>
  </si>
  <si>
    <t>CBT03580000</t>
  </si>
  <si>
    <t>RCS RS Interior</t>
  </si>
  <si>
    <t>07.79.05.04.14.00.00.00.0000</t>
  </si>
  <si>
    <t>HENRIQUE ALEXANDRE PLA LAKATOS</t>
  </si>
  <si>
    <t>CBT03570000</t>
  </si>
  <si>
    <t>RCS SC</t>
  </si>
  <si>
    <t>07.79.05.04.15.00.00.00.0000</t>
  </si>
  <si>
    <t>SUZETTE SUELY GREUEL</t>
  </si>
  <si>
    <t>CBT03250000</t>
  </si>
  <si>
    <t>Trade RCS</t>
  </si>
  <si>
    <t>07.79.05.04.16.00.00.00.0000</t>
  </si>
  <si>
    <t>JACIARA BONOTO LUZ</t>
  </si>
  <si>
    <t>CBT03620000</t>
  </si>
  <si>
    <t>Regional Vendas Norte e Nordeste (RNN)</t>
  </si>
  <si>
    <t>07.79.05.06.00.00.00.00.0000</t>
  </si>
  <si>
    <t>KLEBER LAURINDO DE ALBUQUERQUE FILHO</t>
  </si>
  <si>
    <t>CBT02410000</t>
  </si>
  <si>
    <t>Planejamento e Performance de Canais (RNN)</t>
  </si>
  <si>
    <t>07.79.05.06.01.00.00.00.0000</t>
  </si>
  <si>
    <t>SANDRA LETICIA DA SILVA RODRIGUES</t>
  </si>
  <si>
    <t>CBT02460000</t>
  </si>
  <si>
    <t>LOJAS PROPRIAS E PAP LEGADO RNN</t>
  </si>
  <si>
    <t>07.79.05.06.01.01.00.00.0000</t>
  </si>
  <si>
    <t>CBT47430000</t>
  </si>
  <si>
    <t>RNN PI/MA</t>
  </si>
  <si>
    <t>07.79.05.06.02.00.00.00.0000</t>
  </si>
  <si>
    <t>ROBERVALDO COSTA E SILVA</t>
  </si>
  <si>
    <t>CBT03330000</t>
  </si>
  <si>
    <t>RNN SE/AL/PE/PB</t>
  </si>
  <si>
    <t>07.79.05.06.04.00.00.00.0000</t>
  </si>
  <si>
    <t>JOSE CARLOS WANDERLEY BRAGA ROCHA</t>
  </si>
  <si>
    <t>CBT03030000</t>
  </si>
  <si>
    <t>RNN RN/CE</t>
  </si>
  <si>
    <t>07.79.05.06.05.00.00.00.0000</t>
  </si>
  <si>
    <t>MARCELO DE CARVALHO GOMES SERAPIAO</t>
  </si>
  <si>
    <t>CBT03010000</t>
  </si>
  <si>
    <t>PAP GTE BA INTERIOR</t>
  </si>
  <si>
    <t>07.79.05.06.06.00.00.00.0000</t>
  </si>
  <si>
    <t>ELISANGELA DE ANDRADE MEDEIROS</t>
  </si>
  <si>
    <t>CBT46150000</t>
  </si>
  <si>
    <t>RNN BA CAPITAL</t>
  </si>
  <si>
    <t>07.79.05.06.07.00.00.00.0000</t>
  </si>
  <si>
    <t>CBT02590000</t>
  </si>
  <si>
    <t>RNN AM/RR</t>
  </si>
  <si>
    <t>07.79.05.06.09.00.00.00.0000</t>
  </si>
  <si>
    <t>ANDERSON ALFAIA MACIEL</t>
  </si>
  <si>
    <t>CBT48880000</t>
  </si>
  <si>
    <t>RNN PA</t>
  </si>
  <si>
    <t>07.79.05.06.10.00.00.00.0000</t>
  </si>
  <si>
    <t>ELLEN CRISTINA DE LIMA SARDINHA RIBEIRO</t>
  </si>
  <si>
    <t>CBT03500000</t>
  </si>
  <si>
    <t>Comunicação &amp; Marca</t>
  </si>
  <si>
    <t>07.79.06.00.00.00.00.00.0000</t>
  </si>
  <si>
    <t>LIVIA MARQUEZ ROCHA</t>
  </si>
  <si>
    <t>CBT01560000</t>
  </si>
  <si>
    <t>Mídia e Estratégia de Marca</t>
  </si>
  <si>
    <t>07.79.06.01.00.00.00.00.0000</t>
  </si>
  <si>
    <t>JULIANA FERREIRA RUSSO ROMANO</t>
  </si>
  <si>
    <t>CBT14390000</t>
  </si>
  <si>
    <t>Conteúdo e Experiências Digitais</t>
  </si>
  <si>
    <t>07.79.06.02.00.00.00.00.0000</t>
  </si>
  <si>
    <t>RENATA CORREA BERTOLOSSI</t>
  </si>
  <si>
    <t>CBT01580000</t>
  </si>
  <si>
    <t>Comunicação</t>
  </si>
  <si>
    <t>07.79.06.03.00.00.00.00.0000</t>
  </si>
  <si>
    <t>BARBARA COELHO MARTINHO</t>
  </si>
  <si>
    <t>CBT17410000</t>
  </si>
  <si>
    <t>TradeMaketing</t>
  </si>
  <si>
    <t>07.79.06.04.00.00.00.00.0000</t>
  </si>
  <si>
    <t>LEONARDO GONCALVES DE PINHO</t>
  </si>
  <si>
    <t>CBT50950000</t>
  </si>
  <si>
    <t>Planejamento Inteligência e Desempenho Oi Fibra</t>
  </si>
  <si>
    <t>07.79.07.00.00.00.00.00.0000</t>
  </si>
  <si>
    <t>FERNANDO VAIROLATTI DEL NEGRO FONSECA</t>
  </si>
  <si>
    <t>CBT02020000</t>
  </si>
  <si>
    <t>Planejamento de Demandas Oi Fibra</t>
  </si>
  <si>
    <t>07.79.07.06.00.00.00.00.0000</t>
  </si>
  <si>
    <t>CRISTIANO RIBEIRO PINTO</t>
  </si>
  <si>
    <t>CBT18360000</t>
  </si>
  <si>
    <t>Planejamento Comercial Oi Fibra</t>
  </si>
  <si>
    <t>07.79.07.07.00.00.00.00.0000</t>
  </si>
  <si>
    <t>ALEXANDRE VOLPE RODRIGO</t>
  </si>
  <si>
    <t>CBT27960000</t>
  </si>
  <si>
    <t>Planejamento de Vendas</t>
  </si>
  <si>
    <t>07.79.07.07.01.00.00.00.0000</t>
  </si>
  <si>
    <t>ADRIANA DA COSTA MOREIRA MATOS</t>
  </si>
  <si>
    <t>Gestão da Cadeia e CRV</t>
  </si>
  <si>
    <t>07.79.07.07.02.00.00.00.0000</t>
  </si>
  <si>
    <t>ANDERSON LUIZ FERNANDES ESTEVES</t>
  </si>
  <si>
    <t>Planejamento de Despesa Oi Fibra</t>
  </si>
  <si>
    <t>07.79.07.08.00.00.00.00.0000</t>
  </si>
  <si>
    <t>EMANUELLE ROCHA</t>
  </si>
  <si>
    <t>CBT02300000</t>
  </si>
  <si>
    <t>Planejamento de Receita e Desempenho Oi Fibra</t>
  </si>
  <si>
    <t>07.79.07.09.00.00.00.00.0000</t>
  </si>
  <si>
    <t>ANTONIO FORTES DE CARVALHO JUNIOR</t>
  </si>
  <si>
    <t>CBT01820000</t>
  </si>
  <si>
    <t>Gestão de Valor, Exp. do Cliente e Transf. Ágil</t>
  </si>
  <si>
    <t>07.79.08.00.00.00.00.00.0000</t>
  </si>
  <si>
    <t>FERNANDA CRISTINA LISBOA FISCHER</t>
  </si>
  <si>
    <t>CBT24040000</t>
  </si>
  <si>
    <t>IDI99999102IN01RJ</t>
  </si>
  <si>
    <t>Experiência do Cliente e Agilidade</t>
  </si>
  <si>
    <t>07.79.08.01.00.00.00.00.0000</t>
  </si>
  <si>
    <t>THAIS RODRIGUES GONCALVES</t>
  </si>
  <si>
    <t>CBT17230000</t>
  </si>
  <si>
    <t>Gestão de Portfólio e Métricas de Valor</t>
  </si>
  <si>
    <t>07.79.08.02.00.00.00.00.0000</t>
  </si>
  <si>
    <t>TAYLOR SILVA SOARES</t>
  </si>
  <si>
    <t>CBT18680000</t>
  </si>
  <si>
    <t>Relacionamento com Clientes</t>
  </si>
  <si>
    <t>07.79.10.00.00.00.00.00.0000</t>
  </si>
  <si>
    <t>JOMERSON DA SILVA ALMEIDA</t>
  </si>
  <si>
    <t>CBT05200000</t>
  </si>
  <si>
    <t>Qualidade e Estruturação dos Canais de Relac.</t>
  </si>
  <si>
    <t>07.79.10.01.00.00.00.00.0000</t>
  </si>
  <si>
    <t>LILIANE SANTOS FREIRE</t>
  </si>
  <si>
    <t>CBT06280000</t>
  </si>
  <si>
    <t>URA e Automações</t>
  </si>
  <si>
    <t>07.79.10.02.00.00.00.00.0000</t>
  </si>
  <si>
    <t>KATIA MARIA ROLIM PESSOA</t>
  </si>
  <si>
    <t>CBT06270000</t>
  </si>
  <si>
    <t>E-Care</t>
  </si>
  <si>
    <t>07.79.10.03.00.00.00.00.0000</t>
  </si>
  <si>
    <t>DIEGO DE AVELAR FERREIRA</t>
  </si>
  <si>
    <t>CBT17630000</t>
  </si>
  <si>
    <t>Gestão do Tráfego</t>
  </si>
  <si>
    <t>07.79.10.04.00.00.00.00.0000</t>
  </si>
  <si>
    <t>AURELIO CARRICO TORRACA</t>
  </si>
  <si>
    <t>CBT27880000</t>
  </si>
  <si>
    <t>Atendimento Varejo</t>
  </si>
  <si>
    <t>07.79.10.05.00.00.00.00.0000</t>
  </si>
  <si>
    <t>THIAGO ALVES MATARAZZO</t>
  </si>
  <si>
    <t>CBT18570000</t>
  </si>
  <si>
    <t>Atendimento e Retenção Empresarial</t>
  </si>
  <si>
    <t>07.79.10.06.00.00.00.00.0000</t>
  </si>
  <si>
    <t>GIANE CARLA VARELA</t>
  </si>
  <si>
    <t>CBT11200000</t>
  </si>
  <si>
    <t>Retenção Varejo</t>
  </si>
  <si>
    <t>07.79.10.07.00.00.00.00.0000</t>
  </si>
  <si>
    <t>MANUELA ALENCAR DA CRUZ DANTAS</t>
  </si>
  <si>
    <t>CBT50100000</t>
  </si>
  <si>
    <t>Estratégia e Transformação</t>
  </si>
  <si>
    <t>07.80.00.00.00.00.00.00.0000</t>
  </si>
  <si>
    <t>ROGERIO TAKAYANAGI</t>
  </si>
  <si>
    <t>CBT18060000</t>
  </si>
  <si>
    <t>M&amp;A e Negócios Internacionais</t>
  </si>
  <si>
    <t>07.80.01.00.00.00.00.00.0000</t>
  </si>
  <si>
    <t>LUIZ HENRIQUE SOARES ROSA</t>
  </si>
  <si>
    <t>CBT05640000</t>
  </si>
  <si>
    <t>M&amp;A Implantação</t>
  </si>
  <si>
    <t>07.80.01.01.00.00.00.00.0000</t>
  </si>
  <si>
    <t>ALESSANDRO DE MAGALHAES BARBOSA</t>
  </si>
  <si>
    <t>CBT18660000</t>
  </si>
  <si>
    <t>M&amp;A - Avaliações Estratégicas</t>
  </si>
  <si>
    <t>07.80.01.02.00.00.00.00.0000</t>
  </si>
  <si>
    <t>EDUARDO REIS BERALDO</t>
  </si>
  <si>
    <t>CBT46320000</t>
  </si>
  <si>
    <t>Estratégia e Inteligência de Mercado</t>
  </si>
  <si>
    <t>07.80.02.00.00.00.00.00.0000</t>
  </si>
  <si>
    <t>JOANA SEVILLA</t>
  </si>
  <si>
    <t>CBT18090000</t>
  </si>
  <si>
    <t>Cobre como Ativo</t>
  </si>
  <si>
    <t>07.80.03.00.00.00.00.00.0000</t>
  </si>
  <si>
    <t>LEONARDO SANTANGELO</t>
  </si>
  <si>
    <t>CBT28250000</t>
  </si>
  <si>
    <t>S&amp;OP VTAL, De-Average e Logistica Sucata de Cobre</t>
  </si>
  <si>
    <t>07.80.03.01.00.00.00.00.0000</t>
  </si>
  <si>
    <t>ULYSSES DE ARAUJO MIRANDA</t>
  </si>
  <si>
    <t>CBT51590000</t>
  </si>
  <si>
    <t>Operação do Cobre e Demandas da Rede Externa</t>
  </si>
  <si>
    <t>07.80.03.02.00.00.00.00.0000</t>
  </si>
  <si>
    <t>KAREN ALESSANDRA MAYER</t>
  </si>
  <si>
    <t>CBT28260000</t>
  </si>
  <si>
    <t>Desempenho, Processos e Demandas Anatel</t>
  </si>
  <si>
    <t>07.80.03.03.00.00.00.00.0000</t>
  </si>
  <si>
    <t>DAVI JOSE SERRANO RAMOS</t>
  </si>
  <si>
    <t>CBT11440000</t>
  </si>
  <si>
    <t>Gestão Comercial do Cobre e Relacionamento</t>
  </si>
  <si>
    <t>07.80.04.00.00.00.00.00.0000</t>
  </si>
  <si>
    <t>VANDA COUTINHO NEVES DE ALMEIDA</t>
  </si>
  <si>
    <t>CBT09910000</t>
  </si>
  <si>
    <t>Gestão da Operação de Atendimento</t>
  </si>
  <si>
    <t>07.80.04.01.00.00.00.00.0000</t>
  </si>
  <si>
    <t>ILEDA ALVINO DA SILVA</t>
  </si>
  <si>
    <t>CBT51600000</t>
  </si>
  <si>
    <t>Estratégia de Migração, Ofertas e Produto Cobre</t>
  </si>
  <si>
    <t>07.80.04.02.00.00.00.00.0000</t>
  </si>
  <si>
    <t>IGOR FRIEDRICH PINHEIRO</t>
  </si>
  <si>
    <t>CBT51610000</t>
  </si>
  <si>
    <t>Transição Móvel e TV</t>
  </si>
  <si>
    <t>07.80.05.00.00.00.00.00.0000</t>
  </si>
  <si>
    <t>ELLY RESENDE SILVA</t>
  </si>
  <si>
    <t>CBT28330000</t>
  </si>
  <si>
    <t>DTH</t>
  </si>
  <si>
    <t>Gestao da Base TV</t>
  </si>
  <si>
    <t>07.80.05.01.00.00.00.00.0000</t>
  </si>
  <si>
    <t>AUGUSTO CESAR MARQUES MARTINS</t>
  </si>
  <si>
    <t>CBT18580000</t>
  </si>
  <si>
    <t>Atendimento Móvel e TV</t>
  </si>
  <si>
    <t>07.80.05.02.00.00.00.00.0000</t>
  </si>
  <si>
    <t>CLAUDIO LEONARDO FERNANDES ALVES</t>
  </si>
  <si>
    <t>CBT17360000</t>
  </si>
  <si>
    <t>Planejamento e Produto Móvel e TV</t>
  </si>
  <si>
    <t>07.80.05.03.00.00.00.00.0000</t>
  </si>
  <si>
    <t>KARINA DUPRAT FORTES</t>
  </si>
  <si>
    <t>CBT46170000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</si>
</sst>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</fills>
  <borders count="2">
    <border>
      <left/>
      <right/>
      <top/>
      <bottom/>
      <diagonal/>
    </border>
    <border>
      <left style="hair">
        <color theme="0" tint="-0.14999847407452621"/>
      </left>
      <right style="hair">
        <color theme="0" tint="-0.14999847407452621"/>
      </right>
      <top style="hair">
        <color theme="0" tint="-0.14999847407452621"/>
      </top>
      <bottom style="hair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/>
    </xf>
    <xf numFmtId="0" fontId="4" fillId="3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 vertical="center"/>
    </xf>
    <xf numFmtId="0" fontId="6" fillId="4" borderId="0" xfId="1" applyFont="1" applyFill="1" applyAlignment="1">
      <alignment horizontal="center" vertical="center"/>
    </xf>
    <xf numFmtId="0" fontId="6" fillId="4" borderId="0" xfId="1" applyFont="1" applyFill="1" applyAlignment="1">
      <alignment horizontal="left" vertical="center"/>
    </xf>
    <xf numFmtId="0" fontId="6" fillId="4" borderId="0" xfId="1" applyFont="1" applyFill="1" applyAlignment="1">
      <alignment vertical="center"/>
    </xf>
    <xf numFmtId="0" fontId="7" fillId="4" borderId="0" xfId="1" applyFont="1" applyFill="1" applyAlignment="1">
      <alignment horizontal="center" vertical="center"/>
    </xf>
    <xf numFmtId="0" fontId="7" fillId="4" borderId="0" xfId="1" applyFont="1" applyFill="1" applyAlignment="1">
      <alignment horizontal="left" vertical="center"/>
    </xf>
    <xf numFmtId="0" fontId="6" fillId="5" borderId="0" xfId="1" applyFont="1" applyFill="1" applyAlignment="1">
      <alignment horizontal="center" vertical="center"/>
    </xf>
    <xf numFmtId="0" fontId="6" fillId="5" borderId="0" xfId="1" applyFont="1" applyFill="1" applyAlignment="1">
      <alignment horizontal="left" vertical="center"/>
    </xf>
    <xf numFmtId="0" fontId="6" fillId="5" borderId="0" xfId="1" applyFont="1" applyFill="1" applyAlignment="1">
      <alignment vertical="center"/>
    </xf>
    <xf numFmtId="0" fontId="7" fillId="5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5" borderId="0" xfId="1" applyFont="1" applyFill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6" fillId="6" borderId="0" xfId="1" applyFont="1" applyFill="1" applyAlignment="1">
      <alignment horizontal="center" vertical="center"/>
    </xf>
    <xf numFmtId="0" fontId="6" fillId="6" borderId="0" xfId="1" applyFont="1" applyFill="1" applyAlignment="1">
      <alignment horizontal="left" vertical="center"/>
    </xf>
    <xf numFmtId="0" fontId="6" fillId="6" borderId="0" xfId="1" applyFont="1" applyFill="1" applyAlignment="1">
      <alignment vertical="center"/>
    </xf>
    <xf numFmtId="0" fontId="7" fillId="6" borderId="0" xfId="1" applyFont="1" applyFill="1" applyAlignment="1">
      <alignment horizontal="center" vertical="center"/>
    </xf>
    <xf numFmtId="0" fontId="7" fillId="6" borderId="0" xfId="1" applyFont="1" applyFill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0" fillId="6" borderId="0" xfId="1" applyFont="1" applyFill="1" applyAlignment="1">
      <alignment horizontal="center" vertical="center"/>
    </xf>
    <xf numFmtId="0" fontId="0" fillId="4" borderId="0" xfId="1" applyFont="1" applyFill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5" borderId="0" xfId="1" applyFont="1" applyFill="1" applyAlignment="1">
      <alignment horizontal="left" vertical="center"/>
    </xf>
    <xf numFmtId="0" fontId="0" fillId="6" borderId="0" xfId="1" applyFont="1" applyFill="1" applyAlignment="1">
      <alignment horizontal="left" vertical="center"/>
    </xf>
    <xf numFmtId="0" fontId="3" fillId="0" borderId="0" xfId="0" applyFont="1" applyAlignment="1">
      <alignment horizontal="left"/>
    </xf>
    <xf numFmtId="0" fontId="0" fillId="5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6" fillId="7" borderId="0" xfId="0" applyFont="1" applyFill="1" applyAlignment="1">
      <alignment vertical="center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left" vertical="center"/>
    </xf>
    <xf numFmtId="0" fontId="7" fillId="0" borderId="0" xfId="0" applyFont="1"/>
    <xf numFmtId="0" fontId="3" fillId="8" borderId="0" xfId="0" applyFont="1" applyFill="1" applyAlignment="1">
      <alignment horizont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6" fillId="6" borderId="0" xfId="0" applyFont="1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7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7" fillId="1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left" vertical="center"/>
    </xf>
    <xf numFmtId="0" fontId="8" fillId="11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2">
    <cellStyle name="Normal" xfId="0" builtinId="0"/>
    <cellStyle name="Normal 4" xfId="1" xr:uid="{00000000-0005-0000-0000-000001000000}"/>
  </cellStyles>
  <dxfs count="1">
    <dxf>
      <fill>
        <patternFill patternType="solid">
          <fgColor rgb="FFA6A6A6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icorp-my.sharepoint.com/RH-Planejamento/1%20-%20Ger%20Arquitetura%20Organizacional/02.%20Arquitetura%20Organizacional/Reestrutura&#231;&#245;es/2023/10.%20Outubro/Mapa%20de%20Estrutura%2010102023%20-%20Pr&#233;v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a de Estrutura - Prévia"/>
      <sheetName val="Mapa Futur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XEJ327"/>
  <sheetViews>
    <sheetView showGridLines="0" tabSelected="1" zoomScale="80" zoomScaleNormal="80" workbookViewId="0">
      <pane ySplit="1" topLeftCell="A2" activePane="bottomLeft" state="frozen"/>
      <selection activeCell="A20" sqref="A20:B22"/>
      <selection pane="bottomLeft" activeCell="C336" sqref="C336"/>
    </sheetView>
  </sheetViews>
  <sheetFormatPr baseColWidth="10" defaultColWidth="33.5" defaultRowHeight="15" outlineLevelCol="1" x14ac:dyDescent="0.2"/>
  <cols>
    <col min="1" max="1" width="23.6640625" style="4" bestFit="1" customWidth="1"/>
    <col min="2" max="2" width="35.33203125" style="41" bestFit="1" customWidth="1"/>
    <col min="3" max="3" width="52.83203125" style="41" bestFit="1" customWidth="1" collapsed="1"/>
    <col min="4" max="4" width="11.33203125" style="41" hidden="1" customWidth="1" outlineLevel="1"/>
    <col min="5" max="5" width="35.33203125" style="41" hidden="1" customWidth="1" outlineLevel="1"/>
    <col min="6" max="6" width="46.6640625" style="41" hidden="1" customWidth="1" outlineLevel="1"/>
    <col min="7" max="7" width="48.83203125" style="41" hidden="1" customWidth="1" outlineLevel="1"/>
    <col min="8" max="10" width="52.83203125" style="41" hidden="1" customWidth="1" outlineLevel="1"/>
    <col min="11" max="11" width="27.6640625" style="56" bestFit="1" customWidth="1"/>
    <col min="12" max="12" width="8.83203125" style="56" bestFit="1" customWidth="1"/>
    <col min="13" max="13" width="49.5" style="57" bestFit="1" customWidth="1"/>
    <col min="14" max="14" width="16.6640625" style="58" bestFit="1" customWidth="1"/>
    <col min="15" max="15" width="19.1640625" style="58" bestFit="1" customWidth="1"/>
    <col min="16" max="16" width="14.83203125" style="58" bestFit="1" customWidth="1"/>
    <col min="17" max="17" width="20.1640625" style="58" bestFit="1" customWidth="1"/>
    <col min="18" max="18" width="32" style="58" bestFit="1" customWidth="1"/>
    <col min="19" max="19" width="18" style="58" bestFit="1" customWidth="1"/>
  </cols>
  <sheetData>
    <row r="1" spans="1:19" s="3" customFormat="1" ht="30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5" hidden="1" customHeight="1" x14ac:dyDescent="0.2">
      <c r="A2" s="5" t="s">
        <v>3</v>
      </c>
      <c r="B2" s="6" t="s">
        <v>19</v>
      </c>
      <c r="C2" s="6" t="s">
        <v>19</v>
      </c>
      <c r="D2" s="6" t="str">
        <f>IF($A2=D$1,$C2,IF(TEXT(RIGHT($A2,1),0)&lt;TEXT(RIGHT(D$1,1),0),C2,D1))</f>
        <v>Presidência</v>
      </c>
      <c r="E2" s="6" t="str">
        <f t="shared" ref="E2:J2" si="0">IF($A2=E$1,$C2,IF(TEXT(RIGHT($A2,1),0)&lt;TEXT(RIGHT(E$1,1),0),D2,E1))</f>
        <v>Presidência</v>
      </c>
      <c r="F2" s="6" t="str">
        <f t="shared" si="0"/>
        <v>Presidência</v>
      </c>
      <c r="G2" s="6" t="str">
        <f t="shared" si="0"/>
        <v>Presidência</v>
      </c>
      <c r="H2" s="6" t="str">
        <f t="shared" si="0"/>
        <v>Presidência</v>
      </c>
      <c r="I2" s="6" t="str">
        <f t="shared" si="0"/>
        <v>Presidência</v>
      </c>
      <c r="J2" s="6" t="str">
        <f t="shared" si="0"/>
        <v>Presidência</v>
      </c>
      <c r="K2" s="7" t="s">
        <v>20</v>
      </c>
      <c r="L2" s="7">
        <v>415868</v>
      </c>
      <c r="M2" s="8" t="s">
        <v>21</v>
      </c>
      <c r="N2" s="7" t="s">
        <v>22</v>
      </c>
      <c r="O2" s="7" t="s">
        <v>23</v>
      </c>
      <c r="P2" s="7"/>
      <c r="Q2" s="7"/>
      <c r="R2" s="7" t="s">
        <v>24</v>
      </c>
      <c r="S2" s="7" t="s">
        <v>25</v>
      </c>
    </row>
    <row r="3" spans="1:19" ht="15" customHeight="1" x14ac:dyDescent="0.2">
      <c r="A3" s="9" t="s">
        <v>4</v>
      </c>
      <c r="B3" s="10" t="s">
        <v>26</v>
      </c>
      <c r="C3" s="10" t="s">
        <v>26</v>
      </c>
      <c r="D3" s="11" t="str">
        <f t="shared" ref="D3:D66" si="1">IF($A3=D$1,$C3,IF(TEXT(RIGHT($A3,1),0)&lt;TEXT(RIGHT(D$1,1),0),C3,D2))</f>
        <v>Presidência</v>
      </c>
      <c r="E3" s="11" t="str">
        <f t="shared" ref="E3:E66" si="2">IF($A3=E$1,$C3,IF(TEXT(RIGHT($A3,1),0)&lt;TEXT(RIGHT(E$1,1),0),D3,E2))</f>
        <v>Auditoria e GRC</v>
      </c>
      <c r="F3" s="11" t="str">
        <f t="shared" ref="F3:F66" si="3">IF($A3=F$1,$C3,IF(TEXT(RIGHT($A3,1),0)&lt;TEXT(RIGHT(F$1,1),0),E3,F2))</f>
        <v>Auditoria e GRC</v>
      </c>
      <c r="G3" s="11" t="str">
        <f t="shared" ref="G3:G66" si="4">IF($A3=G$1,$C3,IF(TEXT(RIGHT($A3,1),0)&lt;TEXT(RIGHT(G$1,1),0),F3,G2))</f>
        <v>Auditoria e GRC</v>
      </c>
      <c r="H3" s="11" t="str">
        <f t="shared" ref="H3:H66" si="5">IF($A3=H$1,$C3,IF(TEXT(RIGHT($A3,1),0)&lt;TEXT(RIGHT(H$1,1),0),G3,H2))</f>
        <v>Auditoria e GRC</v>
      </c>
      <c r="I3" s="11" t="str">
        <f t="shared" ref="I3:I66" si="6">IF($A3=I$1,$C3,IF(TEXT(RIGHT($A3,1),0)&lt;TEXT(RIGHT(I$1,1),0),H3,I2))</f>
        <v>Auditoria e GRC</v>
      </c>
      <c r="J3" s="11" t="str">
        <f t="shared" ref="J3:J66" si="7">IF($A3=J$1,$C3,IF(TEXT(RIGHT($A3,1),0)&lt;TEXT(RIGHT(J$1,1),0),I3,J2))</f>
        <v>Auditoria e GRC</v>
      </c>
      <c r="K3" s="12" t="s">
        <v>27</v>
      </c>
      <c r="L3" s="12">
        <v>299829</v>
      </c>
      <c r="M3" s="13" t="s">
        <v>28</v>
      </c>
      <c r="N3" s="12" t="s">
        <v>22</v>
      </c>
      <c r="O3" s="12" t="s">
        <v>29</v>
      </c>
      <c r="P3" s="12"/>
      <c r="Q3" s="12"/>
      <c r="R3" s="12" t="s">
        <v>30</v>
      </c>
      <c r="S3" s="12" t="s">
        <v>25</v>
      </c>
    </row>
    <row r="4" spans="1:19" ht="15" hidden="1" customHeight="1" x14ac:dyDescent="0.2">
      <c r="A4" s="14" t="s">
        <v>5</v>
      </c>
      <c r="B4" s="15" t="s">
        <v>26</v>
      </c>
      <c r="C4" s="15" t="s">
        <v>31</v>
      </c>
      <c r="D4" s="16" t="str">
        <f t="shared" si="1"/>
        <v>Presidência</v>
      </c>
      <c r="E4" s="16" t="str">
        <f t="shared" si="2"/>
        <v>Auditoria e GRC</v>
      </c>
      <c r="F4" s="16" t="str">
        <f t="shared" si="3"/>
        <v>Conformidade e Sustentabilidade</v>
      </c>
      <c r="G4" s="16" t="str">
        <f t="shared" si="4"/>
        <v>Conformidade e Sustentabilidade</v>
      </c>
      <c r="H4" s="16" t="str">
        <f t="shared" si="5"/>
        <v>Conformidade e Sustentabilidade</v>
      </c>
      <c r="I4" s="16" t="str">
        <f t="shared" si="6"/>
        <v>Conformidade e Sustentabilidade</v>
      </c>
      <c r="J4" s="16" t="str">
        <f t="shared" si="7"/>
        <v>Conformidade e Sustentabilidade</v>
      </c>
      <c r="K4" s="17" t="s">
        <v>32</v>
      </c>
      <c r="L4" s="17">
        <v>404085</v>
      </c>
      <c r="M4" s="18" t="s">
        <v>33</v>
      </c>
      <c r="N4" s="17" t="s">
        <v>22</v>
      </c>
      <c r="O4" s="17" t="s">
        <v>34</v>
      </c>
      <c r="P4" s="17"/>
      <c r="Q4" s="17"/>
      <c r="R4" s="17" t="s">
        <v>35</v>
      </c>
      <c r="S4" s="17" t="s">
        <v>25</v>
      </c>
    </row>
    <row r="5" spans="1:19" ht="15" hidden="1" customHeight="1" x14ac:dyDescent="0.2">
      <c r="A5" s="14" t="s">
        <v>5</v>
      </c>
      <c r="B5" s="15" t="s">
        <v>26</v>
      </c>
      <c r="C5" s="15" t="s">
        <v>36</v>
      </c>
      <c r="D5" s="16" t="str">
        <f t="shared" si="1"/>
        <v>Presidência</v>
      </c>
      <c r="E5" s="16" t="str">
        <f t="shared" si="2"/>
        <v>Auditoria e GRC</v>
      </c>
      <c r="F5" s="16" t="str">
        <f t="shared" si="3"/>
        <v>Riscos e Controles</v>
      </c>
      <c r="G5" s="16" t="str">
        <f t="shared" si="4"/>
        <v>Riscos e Controles</v>
      </c>
      <c r="H5" s="16" t="str">
        <f t="shared" si="5"/>
        <v>Riscos e Controles</v>
      </c>
      <c r="I5" s="16" t="str">
        <f t="shared" si="6"/>
        <v>Riscos e Controles</v>
      </c>
      <c r="J5" s="16" t="str">
        <f t="shared" si="7"/>
        <v>Riscos e Controles</v>
      </c>
      <c r="K5" s="17" t="s">
        <v>37</v>
      </c>
      <c r="L5" s="17">
        <v>415040</v>
      </c>
      <c r="M5" s="18" t="s">
        <v>38</v>
      </c>
      <c r="N5" s="17" t="s">
        <v>22</v>
      </c>
      <c r="O5" s="17" t="s">
        <v>39</v>
      </c>
      <c r="P5" s="17"/>
      <c r="Q5" s="17"/>
      <c r="R5" s="17" t="s">
        <v>35</v>
      </c>
      <c r="S5" s="17" t="s">
        <v>25</v>
      </c>
    </row>
    <row r="6" spans="1:19" ht="15" hidden="1" customHeight="1" x14ac:dyDescent="0.2">
      <c r="A6" s="14" t="s">
        <v>5</v>
      </c>
      <c r="B6" s="15" t="s">
        <v>26</v>
      </c>
      <c r="C6" s="15" t="s">
        <v>40</v>
      </c>
      <c r="D6" s="16" t="str">
        <f t="shared" si="1"/>
        <v>Presidência</v>
      </c>
      <c r="E6" s="16" t="str">
        <f t="shared" si="2"/>
        <v>Auditoria e GRC</v>
      </c>
      <c r="F6" s="16" t="str">
        <f t="shared" si="3"/>
        <v>Auditoria Interna</v>
      </c>
      <c r="G6" s="16" t="str">
        <f t="shared" si="4"/>
        <v>Auditoria Interna</v>
      </c>
      <c r="H6" s="16" t="str">
        <f t="shared" si="5"/>
        <v>Auditoria Interna</v>
      </c>
      <c r="I6" s="16" t="str">
        <f t="shared" si="6"/>
        <v>Auditoria Interna</v>
      </c>
      <c r="J6" s="16" t="str">
        <f t="shared" si="7"/>
        <v>Auditoria Interna</v>
      </c>
      <c r="K6" s="17" t="s">
        <v>41</v>
      </c>
      <c r="L6" s="17">
        <v>270237</v>
      </c>
      <c r="M6" s="18" t="s">
        <v>42</v>
      </c>
      <c r="N6" s="17" t="s">
        <v>22</v>
      </c>
      <c r="O6" s="17" t="s">
        <v>43</v>
      </c>
      <c r="P6" s="17"/>
      <c r="Q6" s="17"/>
      <c r="R6" s="17" t="s">
        <v>35</v>
      </c>
      <c r="S6" s="17" t="s">
        <v>25</v>
      </c>
    </row>
    <row r="7" spans="1:19" ht="15" customHeight="1" x14ac:dyDescent="0.2">
      <c r="A7" s="9" t="s">
        <v>4</v>
      </c>
      <c r="B7" s="10" t="s">
        <v>44</v>
      </c>
      <c r="C7" s="10" t="s">
        <v>44</v>
      </c>
      <c r="D7" s="11" t="str">
        <f t="shared" si="1"/>
        <v>Presidência</v>
      </c>
      <c r="E7" s="11" t="str">
        <f t="shared" si="2"/>
        <v>Regulatório &amp; Institucional</v>
      </c>
      <c r="F7" s="11" t="str">
        <f t="shared" si="3"/>
        <v>Regulatório &amp; Institucional</v>
      </c>
      <c r="G7" s="11" t="str">
        <f t="shared" si="4"/>
        <v>Regulatório &amp; Institucional</v>
      </c>
      <c r="H7" s="11" t="str">
        <f t="shared" si="5"/>
        <v>Regulatório &amp; Institucional</v>
      </c>
      <c r="I7" s="11" t="str">
        <f t="shared" si="6"/>
        <v>Regulatório &amp; Institucional</v>
      </c>
      <c r="J7" s="11" t="str">
        <f t="shared" si="7"/>
        <v>Regulatório &amp; Institucional</v>
      </c>
      <c r="K7" s="12" t="s">
        <v>45</v>
      </c>
      <c r="L7" s="12">
        <v>104877</v>
      </c>
      <c r="M7" s="13" t="s">
        <v>46</v>
      </c>
      <c r="N7" s="12" t="s">
        <v>22</v>
      </c>
      <c r="O7" s="12" t="s">
        <v>47</v>
      </c>
      <c r="P7" s="12"/>
      <c r="Q7" s="12"/>
      <c r="R7" s="12" t="s">
        <v>30</v>
      </c>
      <c r="S7" s="12" t="s">
        <v>25</v>
      </c>
    </row>
    <row r="8" spans="1:19" ht="15" hidden="1" customHeight="1" x14ac:dyDescent="0.2">
      <c r="A8" s="14" t="s">
        <v>5</v>
      </c>
      <c r="B8" s="15" t="s">
        <v>44</v>
      </c>
      <c r="C8" s="15" t="s">
        <v>48</v>
      </c>
      <c r="D8" s="16" t="str">
        <f t="shared" si="1"/>
        <v>Presidência</v>
      </c>
      <c r="E8" s="16" t="str">
        <f t="shared" si="2"/>
        <v>Regulatório &amp; Institucional</v>
      </c>
      <c r="F8" s="16" t="str">
        <f t="shared" si="3"/>
        <v>Regulamentação</v>
      </c>
      <c r="G8" s="16" t="str">
        <f t="shared" si="4"/>
        <v>Regulamentação</v>
      </c>
      <c r="H8" s="16" t="str">
        <f t="shared" si="5"/>
        <v>Regulamentação</v>
      </c>
      <c r="I8" s="16" t="str">
        <f t="shared" si="6"/>
        <v>Regulamentação</v>
      </c>
      <c r="J8" s="16" t="str">
        <f t="shared" si="7"/>
        <v>Regulamentação</v>
      </c>
      <c r="K8" s="17" t="s">
        <v>49</v>
      </c>
      <c r="L8" s="17">
        <v>414946</v>
      </c>
      <c r="M8" s="18" t="s">
        <v>50</v>
      </c>
      <c r="N8" s="17" t="s">
        <v>22</v>
      </c>
      <c r="O8" s="17" t="s">
        <v>51</v>
      </c>
      <c r="P8" s="17"/>
      <c r="Q8" s="17"/>
      <c r="R8" s="17" t="s">
        <v>30</v>
      </c>
      <c r="S8" s="17" t="s">
        <v>25</v>
      </c>
    </row>
    <row r="9" spans="1:19" ht="15" hidden="1" customHeight="1" x14ac:dyDescent="0.2">
      <c r="A9" s="19" t="s">
        <v>6</v>
      </c>
      <c r="B9" s="20" t="s">
        <v>44</v>
      </c>
      <c r="C9" s="20" t="s">
        <v>52</v>
      </c>
      <c r="D9" s="21" t="str">
        <f t="shared" si="1"/>
        <v>Presidência</v>
      </c>
      <c r="E9" s="21" t="str">
        <f t="shared" si="2"/>
        <v>Regulatório &amp; Institucional</v>
      </c>
      <c r="F9" s="21" t="str">
        <f t="shared" si="3"/>
        <v>Regulamentação</v>
      </c>
      <c r="G9" s="21" t="str">
        <f t="shared" si="4"/>
        <v>Contencioso Regulatório, Concorrencial e M&amp;A</v>
      </c>
      <c r="H9" s="21" t="str">
        <f t="shared" si="5"/>
        <v>Contencioso Regulatório, Concorrencial e M&amp;A</v>
      </c>
      <c r="I9" s="21" t="str">
        <f t="shared" si="6"/>
        <v>Contencioso Regulatório, Concorrencial e M&amp;A</v>
      </c>
      <c r="J9" s="21" t="str">
        <f t="shared" si="7"/>
        <v>Contencioso Regulatório, Concorrencial e M&amp;A</v>
      </c>
      <c r="K9" s="22" t="s">
        <v>53</v>
      </c>
      <c r="L9" s="22">
        <v>317954</v>
      </c>
      <c r="M9" s="23" t="s">
        <v>54</v>
      </c>
      <c r="N9" s="22" t="s">
        <v>22</v>
      </c>
      <c r="O9" s="22" t="s">
        <v>55</v>
      </c>
      <c r="P9" s="22"/>
      <c r="Q9" s="22"/>
      <c r="R9" s="22" t="s">
        <v>35</v>
      </c>
      <c r="S9" s="22" t="s">
        <v>25</v>
      </c>
    </row>
    <row r="10" spans="1:19" ht="15" hidden="1" customHeight="1" x14ac:dyDescent="0.2">
      <c r="A10" s="19" t="s">
        <v>6</v>
      </c>
      <c r="B10" s="20" t="s">
        <v>44</v>
      </c>
      <c r="C10" s="20" t="s">
        <v>56</v>
      </c>
      <c r="D10" s="21" t="str">
        <f t="shared" si="1"/>
        <v>Presidência</v>
      </c>
      <c r="E10" s="21" t="str">
        <f t="shared" si="2"/>
        <v>Regulatório &amp; Institucional</v>
      </c>
      <c r="F10" s="21" t="str">
        <f t="shared" si="3"/>
        <v>Regulamentação</v>
      </c>
      <c r="G10" s="21" t="str">
        <f t="shared" si="4"/>
        <v>Controle de Obrigações Regulatórias</v>
      </c>
      <c r="H10" s="21" t="str">
        <f t="shared" si="5"/>
        <v>Controle de Obrigações Regulatórias</v>
      </c>
      <c r="I10" s="21" t="str">
        <f t="shared" si="6"/>
        <v>Controle de Obrigações Regulatórias</v>
      </c>
      <c r="J10" s="21" t="str">
        <f t="shared" si="7"/>
        <v>Controle de Obrigações Regulatórias</v>
      </c>
      <c r="K10" s="22" t="s">
        <v>57</v>
      </c>
      <c r="L10" s="22">
        <v>57981</v>
      </c>
      <c r="M10" s="23" t="s">
        <v>58</v>
      </c>
      <c r="N10" s="22" t="s">
        <v>22</v>
      </c>
      <c r="O10" s="22" t="s">
        <v>59</v>
      </c>
      <c r="P10" s="22"/>
      <c r="Q10" s="22"/>
      <c r="R10" s="22" t="s">
        <v>35</v>
      </c>
      <c r="S10" s="22" t="s">
        <v>25</v>
      </c>
    </row>
    <row r="11" spans="1:19" ht="15" hidden="1" customHeight="1" x14ac:dyDescent="0.2">
      <c r="A11" s="19" t="s">
        <v>6</v>
      </c>
      <c r="B11" s="20" t="s">
        <v>44</v>
      </c>
      <c r="C11" s="20" t="s">
        <v>60</v>
      </c>
      <c r="D11" s="21" t="str">
        <f t="shared" si="1"/>
        <v>Presidência</v>
      </c>
      <c r="E11" s="21" t="str">
        <f t="shared" si="2"/>
        <v>Regulatório &amp; Institucional</v>
      </c>
      <c r="F11" s="21" t="str">
        <f t="shared" si="3"/>
        <v>Regulamentação</v>
      </c>
      <c r="G11" s="21" t="str">
        <f t="shared" si="4"/>
        <v>Evolução, Consultoria e Compliance Regulatório</v>
      </c>
      <c r="H11" s="21" t="str">
        <f t="shared" si="5"/>
        <v>Evolução, Consultoria e Compliance Regulatório</v>
      </c>
      <c r="I11" s="21" t="str">
        <f t="shared" si="6"/>
        <v>Evolução, Consultoria e Compliance Regulatório</v>
      </c>
      <c r="J11" s="21" t="str">
        <f t="shared" si="7"/>
        <v>Evolução, Consultoria e Compliance Regulatório</v>
      </c>
      <c r="K11" s="22" t="s">
        <v>61</v>
      </c>
      <c r="L11" s="22">
        <v>414947</v>
      </c>
      <c r="M11" s="23" t="s">
        <v>62</v>
      </c>
      <c r="N11" s="22" t="s">
        <v>22</v>
      </c>
      <c r="O11" s="22" t="s">
        <v>63</v>
      </c>
      <c r="P11" s="22"/>
      <c r="Q11" s="22"/>
      <c r="R11" s="22" t="s">
        <v>35</v>
      </c>
      <c r="S11" s="22" t="s">
        <v>25</v>
      </c>
    </row>
    <row r="12" spans="1:19" ht="15" hidden="1" customHeight="1" x14ac:dyDescent="0.2">
      <c r="A12" s="14" t="s">
        <v>5</v>
      </c>
      <c r="B12" s="15" t="s">
        <v>44</v>
      </c>
      <c r="C12" s="15" t="s">
        <v>64</v>
      </c>
      <c r="D12" s="16" t="str">
        <f t="shared" si="1"/>
        <v>Presidência</v>
      </c>
      <c r="E12" s="16" t="str">
        <f t="shared" si="2"/>
        <v>Regulatório &amp; Institucional</v>
      </c>
      <c r="F12" s="16" t="str">
        <f t="shared" si="3"/>
        <v>Institucional e Assessoria de Imprensa</v>
      </c>
      <c r="G12" s="16" t="str">
        <f t="shared" si="4"/>
        <v>Institucional e Assessoria de Imprensa</v>
      </c>
      <c r="H12" s="16" t="str">
        <f t="shared" si="5"/>
        <v>Institucional e Assessoria de Imprensa</v>
      </c>
      <c r="I12" s="16" t="str">
        <f t="shared" si="6"/>
        <v>Institucional e Assessoria de Imprensa</v>
      </c>
      <c r="J12" s="16" t="str">
        <f t="shared" si="7"/>
        <v>Institucional e Assessoria de Imprensa</v>
      </c>
      <c r="K12" s="17" t="s">
        <v>65</v>
      </c>
      <c r="L12" s="17"/>
      <c r="M12" s="24" t="s">
        <v>66</v>
      </c>
      <c r="N12" s="17" t="s">
        <v>22</v>
      </c>
      <c r="O12" s="17" t="s">
        <v>67</v>
      </c>
      <c r="P12" s="17"/>
      <c r="Q12" s="17"/>
      <c r="R12" s="17" t="s">
        <v>30</v>
      </c>
      <c r="S12" s="17" t="s">
        <v>25</v>
      </c>
    </row>
    <row r="13" spans="1:19" ht="15" hidden="1" customHeight="1" x14ac:dyDescent="0.2">
      <c r="A13" s="19" t="s">
        <v>6</v>
      </c>
      <c r="B13" s="20" t="s">
        <v>44</v>
      </c>
      <c r="C13" s="20" t="s">
        <v>68</v>
      </c>
      <c r="D13" s="21" t="str">
        <f t="shared" si="1"/>
        <v>Presidência</v>
      </c>
      <c r="E13" s="21" t="str">
        <f t="shared" si="2"/>
        <v>Regulatório &amp; Institucional</v>
      </c>
      <c r="F13" s="21" t="str">
        <f t="shared" si="3"/>
        <v>Institucional e Assessoria de Imprensa</v>
      </c>
      <c r="G13" s="21" t="str">
        <f t="shared" si="4"/>
        <v>Relações Institucionais</v>
      </c>
      <c r="H13" s="21" t="str">
        <f t="shared" si="5"/>
        <v>Relações Institucionais</v>
      </c>
      <c r="I13" s="21" t="str">
        <f t="shared" si="6"/>
        <v>Relações Institucionais</v>
      </c>
      <c r="J13" s="21" t="str">
        <f t="shared" si="7"/>
        <v>Relações Institucionais</v>
      </c>
      <c r="K13" s="22" t="s">
        <v>69</v>
      </c>
      <c r="L13" s="22">
        <v>303628</v>
      </c>
      <c r="M13" s="23" t="s">
        <v>70</v>
      </c>
      <c r="N13" s="22" t="s">
        <v>22</v>
      </c>
      <c r="O13" s="22" t="s">
        <v>71</v>
      </c>
      <c r="P13" s="22"/>
      <c r="Q13" s="22"/>
      <c r="R13" s="22" t="s">
        <v>35</v>
      </c>
      <c r="S13" s="22" t="s">
        <v>25</v>
      </c>
    </row>
    <row r="14" spans="1:19" ht="15" hidden="1" customHeight="1" x14ac:dyDescent="0.2">
      <c r="A14" s="14" t="s">
        <v>5</v>
      </c>
      <c r="B14" s="15" t="s">
        <v>44</v>
      </c>
      <c r="C14" s="15" t="s">
        <v>72</v>
      </c>
      <c r="D14" s="16" t="str">
        <f t="shared" si="1"/>
        <v>Presidência</v>
      </c>
      <c r="E14" s="16" t="str">
        <f t="shared" si="2"/>
        <v>Regulatório &amp; Institucional</v>
      </c>
      <c r="F14" s="16" t="str">
        <f t="shared" si="3"/>
        <v>Planejamento e Gestão de Regulamentação</v>
      </c>
      <c r="G14" s="16" t="str">
        <f t="shared" si="4"/>
        <v>Planejamento e Gestão de Regulamentação</v>
      </c>
      <c r="H14" s="16" t="str">
        <f t="shared" si="5"/>
        <v>Planejamento e Gestão de Regulamentação</v>
      </c>
      <c r="I14" s="16" t="str">
        <f t="shared" si="6"/>
        <v>Planejamento e Gestão de Regulamentação</v>
      </c>
      <c r="J14" s="16" t="str">
        <f t="shared" si="7"/>
        <v>Planejamento e Gestão de Regulamentação</v>
      </c>
      <c r="K14" s="17" t="s">
        <v>73</v>
      </c>
      <c r="L14" s="17">
        <v>76074</v>
      </c>
      <c r="M14" s="18" t="s">
        <v>74</v>
      </c>
      <c r="N14" s="17" t="s">
        <v>22</v>
      </c>
      <c r="O14" s="17" t="s">
        <v>75</v>
      </c>
      <c r="P14" s="17"/>
      <c r="Q14" s="17"/>
      <c r="R14" s="17" t="s">
        <v>35</v>
      </c>
      <c r="S14" s="17" t="s">
        <v>25</v>
      </c>
    </row>
    <row r="15" spans="1:19" ht="15" customHeight="1" collapsed="1" x14ac:dyDescent="0.2">
      <c r="A15" s="9" t="s">
        <v>4</v>
      </c>
      <c r="B15" s="10" t="s">
        <v>76</v>
      </c>
      <c r="C15" s="10" t="s">
        <v>76</v>
      </c>
      <c r="D15" s="11" t="str">
        <f t="shared" si="1"/>
        <v>Presidência</v>
      </c>
      <c r="E15" s="11" t="str">
        <f t="shared" si="2"/>
        <v>Finanças e Relações com Investidores</v>
      </c>
      <c r="F15" s="11" t="str">
        <f t="shared" si="3"/>
        <v>Finanças e Relações com Investidores</v>
      </c>
      <c r="G15" s="11" t="str">
        <f t="shared" si="4"/>
        <v>Finanças e Relações com Investidores</v>
      </c>
      <c r="H15" s="11" t="str">
        <f t="shared" si="5"/>
        <v>Finanças e Relações com Investidores</v>
      </c>
      <c r="I15" s="11" t="str">
        <f t="shared" si="6"/>
        <v>Finanças e Relações com Investidores</v>
      </c>
      <c r="J15" s="11" t="str">
        <f t="shared" si="7"/>
        <v>Finanças e Relações com Investidores</v>
      </c>
      <c r="K15" s="12" t="s">
        <v>77</v>
      </c>
      <c r="L15" s="12">
        <v>416985</v>
      </c>
      <c r="M15" s="13" t="s">
        <v>78</v>
      </c>
      <c r="N15" s="12" t="s">
        <v>22</v>
      </c>
      <c r="O15" s="12" t="s">
        <v>79</v>
      </c>
      <c r="P15" s="12"/>
      <c r="Q15" s="12"/>
      <c r="R15" s="12" t="s">
        <v>30</v>
      </c>
      <c r="S15" s="12" t="s">
        <v>25</v>
      </c>
    </row>
    <row r="16" spans="1:19" ht="15" hidden="1" customHeight="1" x14ac:dyDescent="0.2">
      <c r="A16" s="14" t="s">
        <v>5</v>
      </c>
      <c r="B16" s="15" t="s">
        <v>76</v>
      </c>
      <c r="C16" s="15" t="s">
        <v>80</v>
      </c>
      <c r="D16" s="16" t="str">
        <f t="shared" si="1"/>
        <v>Presidência</v>
      </c>
      <c r="E16" s="16" t="str">
        <f t="shared" si="2"/>
        <v>Finanças e Relações com Investidores</v>
      </c>
      <c r="F16" s="16" t="str">
        <f t="shared" si="3"/>
        <v>Rel Investidores</v>
      </c>
      <c r="G16" s="16" t="str">
        <f t="shared" si="4"/>
        <v>Rel Investidores</v>
      </c>
      <c r="H16" s="16" t="str">
        <f t="shared" si="5"/>
        <v>Rel Investidores</v>
      </c>
      <c r="I16" s="16" t="str">
        <f t="shared" si="6"/>
        <v>Rel Investidores</v>
      </c>
      <c r="J16" s="16" t="str">
        <f t="shared" si="7"/>
        <v>Rel Investidores</v>
      </c>
      <c r="K16" s="17" t="s">
        <v>81</v>
      </c>
      <c r="L16" s="17">
        <v>417730</v>
      </c>
      <c r="M16" s="18" t="s">
        <v>82</v>
      </c>
      <c r="N16" s="17" t="s">
        <v>22</v>
      </c>
      <c r="O16" s="17" t="s">
        <v>83</v>
      </c>
      <c r="P16" s="17"/>
      <c r="Q16" s="17"/>
      <c r="R16" s="17" t="s">
        <v>30</v>
      </c>
      <c r="S16" s="17" t="s">
        <v>25</v>
      </c>
    </row>
    <row r="17" spans="1:19" ht="15" hidden="1" customHeight="1" x14ac:dyDescent="0.2">
      <c r="A17" s="25" t="s">
        <v>6</v>
      </c>
      <c r="B17" s="26" t="s">
        <v>76</v>
      </c>
      <c r="C17" s="26" t="s">
        <v>84</v>
      </c>
      <c r="D17" s="27" t="str">
        <f t="shared" si="1"/>
        <v>Presidência</v>
      </c>
      <c r="E17" s="27" t="str">
        <f t="shared" si="2"/>
        <v>Finanças e Relações com Investidores</v>
      </c>
      <c r="F17" s="27" t="str">
        <f t="shared" si="3"/>
        <v>Rel Investidores</v>
      </c>
      <c r="G17" s="27" t="str">
        <f t="shared" si="4"/>
        <v>Relações com Investidores</v>
      </c>
      <c r="H17" s="27" t="str">
        <f t="shared" si="5"/>
        <v>Relações com Investidores</v>
      </c>
      <c r="I17" s="27" t="str">
        <f t="shared" si="6"/>
        <v>Relações com Investidores</v>
      </c>
      <c r="J17" s="27" t="str">
        <f t="shared" si="7"/>
        <v>Relações com Investidores</v>
      </c>
      <c r="K17" s="28" t="s">
        <v>85</v>
      </c>
      <c r="L17" s="28">
        <v>192674</v>
      </c>
      <c r="M17" s="29" t="s">
        <v>86</v>
      </c>
      <c r="N17" s="28" t="s">
        <v>22</v>
      </c>
      <c r="O17" s="28" t="s">
        <v>87</v>
      </c>
      <c r="P17" s="28"/>
      <c r="Q17" s="28"/>
      <c r="R17" s="28" t="s">
        <v>35</v>
      </c>
      <c r="S17" s="28" t="s">
        <v>25</v>
      </c>
    </row>
    <row r="18" spans="1:19" ht="15" hidden="1" customHeight="1" x14ac:dyDescent="0.2">
      <c r="A18" s="14" t="s">
        <v>5</v>
      </c>
      <c r="B18" s="15" t="s">
        <v>76</v>
      </c>
      <c r="C18" s="15" t="s">
        <v>88</v>
      </c>
      <c r="D18" s="16" t="str">
        <f t="shared" si="1"/>
        <v>Presidência</v>
      </c>
      <c r="E18" s="16" t="str">
        <f t="shared" si="2"/>
        <v>Finanças e Relações com Investidores</v>
      </c>
      <c r="F18" s="16" t="str">
        <f t="shared" si="3"/>
        <v>Controladoria</v>
      </c>
      <c r="G18" s="16" t="str">
        <f t="shared" si="4"/>
        <v>Controladoria</v>
      </c>
      <c r="H18" s="16" t="str">
        <f t="shared" si="5"/>
        <v>Controladoria</v>
      </c>
      <c r="I18" s="16" t="str">
        <f t="shared" si="6"/>
        <v>Controladoria</v>
      </c>
      <c r="J18" s="16" t="str">
        <f t="shared" si="7"/>
        <v>Controladoria</v>
      </c>
      <c r="K18" s="17" t="s">
        <v>89</v>
      </c>
      <c r="L18" s="17">
        <v>417129</v>
      </c>
      <c r="M18" s="18" t="s">
        <v>90</v>
      </c>
      <c r="N18" s="17" t="s">
        <v>22</v>
      </c>
      <c r="O18" s="17" t="s">
        <v>91</v>
      </c>
      <c r="P18" s="17"/>
      <c r="Q18" s="17"/>
      <c r="R18" s="17" t="s">
        <v>30</v>
      </c>
      <c r="S18" s="17" t="s">
        <v>25</v>
      </c>
    </row>
    <row r="19" spans="1:19" ht="15" hidden="1" customHeight="1" x14ac:dyDescent="0.2">
      <c r="A19" s="25" t="s">
        <v>6</v>
      </c>
      <c r="B19" s="26" t="s">
        <v>76</v>
      </c>
      <c r="C19" s="26" t="s">
        <v>92</v>
      </c>
      <c r="D19" s="27" t="str">
        <f t="shared" si="1"/>
        <v>Presidência</v>
      </c>
      <c r="E19" s="27" t="str">
        <f t="shared" si="2"/>
        <v>Finanças e Relações com Investidores</v>
      </c>
      <c r="F19" s="27" t="str">
        <f t="shared" si="3"/>
        <v>Controladoria</v>
      </c>
      <c r="G19" s="27" t="str">
        <f t="shared" si="4"/>
        <v>FP&amp;A</v>
      </c>
      <c r="H19" s="27" t="str">
        <f t="shared" si="5"/>
        <v>FP&amp;A</v>
      </c>
      <c r="I19" s="27" t="str">
        <f t="shared" si="6"/>
        <v>FP&amp;A</v>
      </c>
      <c r="J19" s="27" t="str">
        <f t="shared" si="7"/>
        <v>FP&amp;A</v>
      </c>
      <c r="K19" s="28" t="s">
        <v>93</v>
      </c>
      <c r="L19" s="28">
        <v>276967</v>
      </c>
      <c r="M19" s="29" t="s">
        <v>94</v>
      </c>
      <c r="N19" s="28" t="s">
        <v>22</v>
      </c>
      <c r="O19" s="28" t="s">
        <v>95</v>
      </c>
      <c r="P19" s="28"/>
      <c r="Q19" s="28"/>
      <c r="R19" s="28" t="s">
        <v>35</v>
      </c>
      <c r="S19" s="28" t="s">
        <v>25</v>
      </c>
    </row>
    <row r="20" spans="1:19" ht="15" hidden="1" customHeight="1" x14ac:dyDescent="0.2">
      <c r="A20" s="25" t="s">
        <v>6</v>
      </c>
      <c r="B20" s="26" t="s">
        <v>76</v>
      </c>
      <c r="C20" s="26" t="s">
        <v>96</v>
      </c>
      <c r="D20" s="27" t="str">
        <f t="shared" si="1"/>
        <v>Presidência</v>
      </c>
      <c r="E20" s="27" t="str">
        <f t="shared" si="2"/>
        <v>Finanças e Relações com Investidores</v>
      </c>
      <c r="F20" s="27" t="str">
        <f t="shared" si="3"/>
        <v>Controladoria</v>
      </c>
      <c r="G20" s="27" t="str">
        <f t="shared" si="4"/>
        <v>Contabilidade Geral</v>
      </c>
      <c r="H20" s="27" t="str">
        <f t="shared" si="5"/>
        <v>Contabilidade Geral</v>
      </c>
      <c r="I20" s="27" t="str">
        <f t="shared" si="6"/>
        <v>Contabilidade Geral</v>
      </c>
      <c r="J20" s="27" t="str">
        <f t="shared" si="7"/>
        <v>Contabilidade Geral</v>
      </c>
      <c r="K20" s="28" t="s">
        <v>97</v>
      </c>
      <c r="L20" s="28">
        <v>279270</v>
      </c>
      <c r="M20" s="29" t="s">
        <v>98</v>
      </c>
      <c r="N20" s="28" t="s">
        <v>22</v>
      </c>
      <c r="O20" s="28" t="s">
        <v>99</v>
      </c>
      <c r="P20" s="28"/>
      <c r="Q20" s="28"/>
      <c r="R20" s="28" t="s">
        <v>30</v>
      </c>
      <c r="S20" s="28" t="s">
        <v>25</v>
      </c>
    </row>
    <row r="21" spans="1:19" ht="15" hidden="1" customHeight="1" x14ac:dyDescent="0.2">
      <c r="A21" s="30" t="s">
        <v>7</v>
      </c>
      <c r="B21" s="31" t="s">
        <v>76</v>
      </c>
      <c r="C21" s="31" t="s">
        <v>100</v>
      </c>
      <c r="D21" s="32" t="str">
        <f t="shared" si="1"/>
        <v>Presidência</v>
      </c>
      <c r="E21" s="32" t="str">
        <f t="shared" si="2"/>
        <v>Finanças e Relações com Investidores</v>
      </c>
      <c r="F21" s="32" t="str">
        <f t="shared" si="3"/>
        <v>Controladoria</v>
      </c>
      <c r="G21" s="32" t="str">
        <f t="shared" si="4"/>
        <v>Contabilidade Geral</v>
      </c>
      <c r="H21" s="32" t="str">
        <f t="shared" si="5"/>
        <v>Anl Societária, Normas Contábeis e Relatórios Fin</v>
      </c>
      <c r="I21" s="32" t="str">
        <f t="shared" si="6"/>
        <v>Anl Societária, Normas Contábeis e Relatórios Fin</v>
      </c>
      <c r="J21" s="32" t="str">
        <f t="shared" si="7"/>
        <v>Anl Societária, Normas Contábeis e Relatórios Fin</v>
      </c>
      <c r="K21" s="33" t="s">
        <v>101</v>
      </c>
      <c r="L21" s="33">
        <v>35588</v>
      </c>
      <c r="M21" s="34" t="s">
        <v>102</v>
      </c>
      <c r="N21" s="33" t="s">
        <v>22</v>
      </c>
      <c r="O21" s="33" t="s">
        <v>103</v>
      </c>
      <c r="P21" s="33"/>
      <c r="Q21" s="33"/>
      <c r="R21" s="33" t="s">
        <v>35</v>
      </c>
      <c r="S21" s="33" t="s">
        <v>25</v>
      </c>
    </row>
    <row r="22" spans="1:19" ht="15" hidden="1" customHeight="1" x14ac:dyDescent="0.2">
      <c r="A22" s="30" t="s">
        <v>7</v>
      </c>
      <c r="B22" s="31" t="s">
        <v>76</v>
      </c>
      <c r="C22" s="31" t="s">
        <v>104</v>
      </c>
      <c r="D22" s="32" t="str">
        <f t="shared" si="1"/>
        <v>Presidência</v>
      </c>
      <c r="E22" s="32" t="str">
        <f t="shared" si="2"/>
        <v>Finanças e Relações com Investidores</v>
      </c>
      <c r="F22" s="32" t="str">
        <f t="shared" si="3"/>
        <v>Controladoria</v>
      </c>
      <c r="G22" s="32" t="str">
        <f t="shared" si="4"/>
        <v>Contabilidade Geral</v>
      </c>
      <c r="H22" s="32" t="str">
        <f t="shared" si="5"/>
        <v>Contabilidade Operacional</v>
      </c>
      <c r="I22" s="32" t="str">
        <f t="shared" si="6"/>
        <v>Contabilidade Operacional</v>
      </c>
      <c r="J22" s="32" t="str">
        <f t="shared" si="7"/>
        <v>Contabilidade Operacional</v>
      </c>
      <c r="K22" s="33" t="s">
        <v>105</v>
      </c>
      <c r="L22" s="33">
        <v>20214</v>
      </c>
      <c r="M22" s="34" t="s">
        <v>106</v>
      </c>
      <c r="N22" s="33" t="s">
        <v>22</v>
      </c>
      <c r="O22" s="33" t="s">
        <v>107</v>
      </c>
      <c r="P22" s="33"/>
      <c r="Q22" s="33"/>
      <c r="R22" s="33" t="s">
        <v>35</v>
      </c>
      <c r="S22" s="33" t="s">
        <v>25</v>
      </c>
    </row>
    <row r="23" spans="1:19" ht="15" hidden="1" customHeight="1" x14ac:dyDescent="0.2">
      <c r="A23" s="25" t="s">
        <v>6</v>
      </c>
      <c r="B23" s="26" t="s">
        <v>76</v>
      </c>
      <c r="C23" s="26" t="s">
        <v>108</v>
      </c>
      <c r="D23" s="27" t="str">
        <f t="shared" si="1"/>
        <v>Presidência</v>
      </c>
      <c r="E23" s="27" t="str">
        <f t="shared" si="2"/>
        <v>Finanças e Relações com Investidores</v>
      </c>
      <c r="F23" s="27" t="str">
        <f t="shared" si="3"/>
        <v>Controladoria</v>
      </c>
      <c r="G23" s="27" t="str">
        <f t="shared" si="4"/>
        <v>Planejamento Longo Prazo</v>
      </c>
      <c r="H23" s="27" t="str">
        <f t="shared" si="5"/>
        <v>Planejamento Longo Prazo</v>
      </c>
      <c r="I23" s="27" t="str">
        <f t="shared" si="6"/>
        <v>Planejamento Longo Prazo</v>
      </c>
      <c r="J23" s="27" t="str">
        <f t="shared" si="7"/>
        <v>Planejamento Longo Prazo</v>
      </c>
      <c r="K23" s="28" t="s">
        <v>109</v>
      </c>
      <c r="L23" s="28">
        <v>235276</v>
      </c>
      <c r="M23" s="29" t="s">
        <v>110</v>
      </c>
      <c r="N23" s="28" t="s">
        <v>22</v>
      </c>
      <c r="O23" s="28" t="s">
        <v>111</v>
      </c>
      <c r="P23" s="28"/>
      <c r="Q23" s="28"/>
      <c r="R23" s="28" t="s">
        <v>35</v>
      </c>
      <c r="S23" s="28" t="s">
        <v>25</v>
      </c>
    </row>
    <row r="24" spans="1:19" ht="15" hidden="1" customHeight="1" x14ac:dyDescent="0.2">
      <c r="A24" s="25" t="s">
        <v>6</v>
      </c>
      <c r="B24" s="26" t="s">
        <v>76</v>
      </c>
      <c r="C24" s="26" t="s">
        <v>112</v>
      </c>
      <c r="D24" s="27" t="str">
        <f t="shared" si="1"/>
        <v>Presidência</v>
      </c>
      <c r="E24" s="27" t="str">
        <f t="shared" si="2"/>
        <v>Finanças e Relações com Investidores</v>
      </c>
      <c r="F24" s="27" t="str">
        <f t="shared" si="3"/>
        <v>Controladoria</v>
      </c>
      <c r="G24" s="27" t="str">
        <f t="shared" si="4"/>
        <v>Parceiro de Negócios Financeiros - Tecnologia/Rede</v>
      </c>
      <c r="H24" s="27" t="str">
        <f t="shared" si="5"/>
        <v>Parceiro de Negócios Financeiros - Tecnologia/Rede</v>
      </c>
      <c r="I24" s="27" t="str">
        <f t="shared" si="6"/>
        <v>Parceiro de Negócios Financeiros - Tecnologia/Rede</v>
      </c>
      <c r="J24" s="27" t="str">
        <f t="shared" si="7"/>
        <v>Parceiro de Negócios Financeiros - Tecnologia/Rede</v>
      </c>
      <c r="K24" s="28" t="s">
        <v>113</v>
      </c>
      <c r="L24" s="28">
        <v>319621</v>
      </c>
      <c r="M24" s="29" t="s">
        <v>114</v>
      </c>
      <c r="N24" s="28" t="s">
        <v>22</v>
      </c>
      <c r="O24" s="28" t="s">
        <v>115</v>
      </c>
      <c r="P24" s="28"/>
      <c r="Q24" s="28"/>
      <c r="R24" s="28" t="s">
        <v>35</v>
      </c>
      <c r="S24" s="28" t="s">
        <v>25</v>
      </c>
    </row>
    <row r="25" spans="1:19" ht="15" hidden="1" customHeight="1" x14ac:dyDescent="0.2">
      <c r="A25" s="25" t="s">
        <v>6</v>
      </c>
      <c r="B25" s="26" t="s">
        <v>76</v>
      </c>
      <c r="C25" s="26" t="s">
        <v>116</v>
      </c>
      <c r="D25" s="27" t="str">
        <f t="shared" si="1"/>
        <v>Presidência</v>
      </c>
      <c r="E25" s="27" t="str">
        <f t="shared" si="2"/>
        <v>Finanças e Relações com Investidores</v>
      </c>
      <c r="F25" s="27" t="str">
        <f t="shared" si="3"/>
        <v>Controladoria</v>
      </c>
      <c r="G25" s="27" t="str">
        <f t="shared" si="4"/>
        <v>Parceiro de Negócios Financeiros - Varejo/Emp.</v>
      </c>
      <c r="H25" s="27" t="str">
        <f t="shared" si="5"/>
        <v>Parceiro de Negócios Financeiros - Varejo/Emp.</v>
      </c>
      <c r="I25" s="27" t="str">
        <f t="shared" si="6"/>
        <v>Parceiro de Negócios Financeiros - Varejo/Emp.</v>
      </c>
      <c r="J25" s="27" t="str">
        <f t="shared" si="7"/>
        <v>Parceiro de Negócios Financeiros - Varejo/Emp.</v>
      </c>
      <c r="K25" s="28" t="s">
        <v>117</v>
      </c>
      <c r="L25" s="28">
        <v>305821</v>
      </c>
      <c r="M25" s="29" t="s">
        <v>118</v>
      </c>
      <c r="N25" s="28" t="s">
        <v>22</v>
      </c>
      <c r="O25" s="28" t="s">
        <v>119</v>
      </c>
      <c r="P25" s="28"/>
      <c r="Q25" s="28"/>
      <c r="R25" s="28" t="s">
        <v>35</v>
      </c>
      <c r="S25" s="28" t="s">
        <v>25</v>
      </c>
    </row>
    <row r="26" spans="1:19" ht="15" hidden="1" customHeight="1" x14ac:dyDescent="0.2">
      <c r="A26" s="25" t="s">
        <v>6</v>
      </c>
      <c r="B26" s="26" t="s">
        <v>76</v>
      </c>
      <c r="C26" s="26" t="s">
        <v>120</v>
      </c>
      <c r="D26" s="27" t="str">
        <f t="shared" si="1"/>
        <v>Presidência</v>
      </c>
      <c r="E26" s="27" t="str">
        <f t="shared" si="2"/>
        <v>Finanças e Relações com Investidores</v>
      </c>
      <c r="F26" s="27" t="str">
        <f t="shared" si="3"/>
        <v>Controladoria</v>
      </c>
      <c r="G26" s="27" t="str">
        <f t="shared" si="4"/>
        <v>Gestão de Despesas e Receita Legado e Contratos</v>
      </c>
      <c r="H26" s="27" t="str">
        <f t="shared" si="5"/>
        <v>Gestão de Despesas e Receita Legado e Contratos</v>
      </c>
      <c r="I26" s="27" t="str">
        <f t="shared" si="6"/>
        <v>Gestão de Despesas e Receita Legado e Contratos</v>
      </c>
      <c r="J26" s="27" t="str">
        <f t="shared" si="7"/>
        <v>Gestão de Despesas e Receita Legado e Contratos</v>
      </c>
      <c r="K26" s="43" t="s">
        <v>121</v>
      </c>
      <c r="L26" s="43">
        <v>331886</v>
      </c>
      <c r="M26" s="38" t="s">
        <v>122</v>
      </c>
      <c r="N26" s="28" t="s">
        <v>22</v>
      </c>
      <c r="O26" s="28" t="s">
        <v>123</v>
      </c>
      <c r="P26" s="28"/>
      <c r="Q26" s="28"/>
      <c r="R26" s="28" t="s">
        <v>35</v>
      </c>
      <c r="S26" s="28" t="s">
        <v>124</v>
      </c>
    </row>
    <row r="27" spans="1:19" ht="15" hidden="1" customHeight="1" x14ac:dyDescent="0.2">
      <c r="A27" s="25" t="s">
        <v>6</v>
      </c>
      <c r="B27" s="26" t="s">
        <v>76</v>
      </c>
      <c r="C27" s="26" t="s">
        <v>125</v>
      </c>
      <c r="D27" s="27" t="str">
        <f t="shared" si="1"/>
        <v>Presidência</v>
      </c>
      <c r="E27" s="27" t="str">
        <f t="shared" si="2"/>
        <v>Finanças e Relações com Investidores</v>
      </c>
      <c r="F27" s="27" t="str">
        <f t="shared" si="3"/>
        <v>Controladoria</v>
      </c>
      <c r="G27" s="27" t="str">
        <f t="shared" si="4"/>
        <v>Gestão de Eficiência Administrativa Patrimonial</v>
      </c>
      <c r="H27" s="27" t="str">
        <f t="shared" si="5"/>
        <v>Gestão de Eficiência Administrativa Patrimonial</v>
      </c>
      <c r="I27" s="27" t="str">
        <f t="shared" si="6"/>
        <v>Gestão de Eficiência Administrativa Patrimonial</v>
      </c>
      <c r="J27" s="27" t="str">
        <f t="shared" si="7"/>
        <v>Gestão de Eficiência Administrativa Patrimonial</v>
      </c>
      <c r="K27" s="43" t="s">
        <v>126</v>
      </c>
      <c r="L27" s="28">
        <v>417753</v>
      </c>
      <c r="M27" s="29" t="s">
        <v>127</v>
      </c>
      <c r="N27" s="28" t="s">
        <v>22</v>
      </c>
      <c r="O27" s="28" t="s">
        <v>128</v>
      </c>
      <c r="P27" s="28"/>
      <c r="Q27" s="28"/>
      <c r="R27" s="28" t="s">
        <v>35</v>
      </c>
      <c r="S27" s="28" t="s">
        <v>25</v>
      </c>
    </row>
    <row r="28" spans="1:19" ht="15" hidden="1" customHeight="1" x14ac:dyDescent="0.2">
      <c r="A28" s="14" t="s">
        <v>5</v>
      </c>
      <c r="B28" s="15" t="s">
        <v>76</v>
      </c>
      <c r="C28" s="15" t="s">
        <v>129</v>
      </c>
      <c r="D28" s="16" t="str">
        <f t="shared" si="1"/>
        <v>Presidência</v>
      </c>
      <c r="E28" s="16" t="str">
        <f t="shared" si="2"/>
        <v>Finanças e Relações com Investidores</v>
      </c>
      <c r="F28" s="16" t="str">
        <f t="shared" si="3"/>
        <v>Tesouraria e Análise de Desempenho</v>
      </c>
      <c r="G28" s="16" t="str">
        <f t="shared" si="4"/>
        <v>Tesouraria e Análise de Desempenho</v>
      </c>
      <c r="H28" s="16" t="str">
        <f t="shared" si="5"/>
        <v>Tesouraria e Análise de Desempenho</v>
      </c>
      <c r="I28" s="16" t="str">
        <f t="shared" si="6"/>
        <v>Tesouraria e Análise de Desempenho</v>
      </c>
      <c r="J28" s="16" t="str">
        <f t="shared" si="7"/>
        <v>Tesouraria e Análise de Desempenho</v>
      </c>
      <c r="K28" s="17" t="s">
        <v>130</v>
      </c>
      <c r="L28" s="17">
        <v>306344</v>
      </c>
      <c r="M28" s="18" t="s">
        <v>131</v>
      </c>
      <c r="N28" s="17" t="s">
        <v>22</v>
      </c>
      <c r="O28" s="17" t="s">
        <v>132</v>
      </c>
      <c r="P28" s="17"/>
      <c r="Q28" s="17"/>
      <c r="R28" s="17" t="s">
        <v>30</v>
      </c>
      <c r="S28" s="17" t="s">
        <v>25</v>
      </c>
    </row>
    <row r="29" spans="1:19" ht="15" hidden="1" customHeight="1" collapsed="1" x14ac:dyDescent="0.2">
      <c r="A29" s="25" t="s">
        <v>6</v>
      </c>
      <c r="B29" s="26" t="s">
        <v>76</v>
      </c>
      <c r="C29" s="26" t="s">
        <v>133</v>
      </c>
      <c r="D29" s="27" t="str">
        <f t="shared" si="1"/>
        <v>Presidência</v>
      </c>
      <c r="E29" s="27" t="str">
        <f t="shared" si="2"/>
        <v>Finanças e Relações com Investidores</v>
      </c>
      <c r="F29" s="27" t="str">
        <f t="shared" si="3"/>
        <v>Tesouraria e Análise de Desempenho</v>
      </c>
      <c r="G29" s="27" t="str">
        <f t="shared" si="4"/>
        <v>Gestão de Riscos Financeiros</v>
      </c>
      <c r="H29" s="27" t="str">
        <f t="shared" si="5"/>
        <v>Gestão de Riscos Financeiros</v>
      </c>
      <c r="I29" s="27" t="str">
        <f t="shared" si="6"/>
        <v>Gestão de Riscos Financeiros</v>
      </c>
      <c r="J29" s="27" t="str">
        <f t="shared" si="7"/>
        <v>Gestão de Riscos Financeiros</v>
      </c>
      <c r="K29" s="28" t="s">
        <v>134</v>
      </c>
      <c r="L29" s="28">
        <v>307086</v>
      </c>
      <c r="M29" s="29" t="s">
        <v>135</v>
      </c>
      <c r="N29" s="28" t="s">
        <v>22</v>
      </c>
      <c r="O29" s="28" t="s">
        <v>136</v>
      </c>
      <c r="P29" s="28"/>
      <c r="Q29" s="28"/>
      <c r="R29" s="28" t="s">
        <v>35</v>
      </c>
      <c r="S29" s="28" t="s">
        <v>25</v>
      </c>
    </row>
    <row r="30" spans="1:19" ht="15" hidden="1" customHeight="1" x14ac:dyDescent="0.2">
      <c r="A30" s="25" t="s">
        <v>6</v>
      </c>
      <c r="B30" s="26" t="s">
        <v>76</v>
      </c>
      <c r="C30" s="26" t="s">
        <v>137</v>
      </c>
      <c r="D30" s="27" t="str">
        <f t="shared" si="1"/>
        <v>Presidência</v>
      </c>
      <c r="E30" s="27" t="str">
        <f t="shared" si="2"/>
        <v>Finanças e Relações com Investidores</v>
      </c>
      <c r="F30" s="27" t="str">
        <f t="shared" si="3"/>
        <v>Tesouraria e Análise de Desempenho</v>
      </c>
      <c r="G30" s="27" t="str">
        <f t="shared" si="4"/>
        <v>Captação e Adm de Recursos Financeiros</v>
      </c>
      <c r="H30" s="27" t="str">
        <f t="shared" si="5"/>
        <v>Captação e Adm de Recursos Financeiros</v>
      </c>
      <c r="I30" s="27" t="str">
        <f t="shared" si="6"/>
        <v>Captação e Adm de Recursos Financeiros</v>
      </c>
      <c r="J30" s="27" t="str">
        <f t="shared" si="7"/>
        <v>Captação e Adm de Recursos Financeiros</v>
      </c>
      <c r="K30" s="28" t="s">
        <v>138</v>
      </c>
      <c r="L30" s="28">
        <v>98208</v>
      </c>
      <c r="M30" s="29" t="s">
        <v>139</v>
      </c>
      <c r="N30" s="28" t="s">
        <v>22</v>
      </c>
      <c r="O30" s="28" t="s">
        <v>140</v>
      </c>
      <c r="P30" s="28"/>
      <c r="Q30" s="28"/>
      <c r="R30" s="28" t="s">
        <v>35</v>
      </c>
      <c r="S30" s="28" t="s">
        <v>25</v>
      </c>
    </row>
    <row r="31" spans="1:19" ht="15" hidden="1" customHeight="1" x14ac:dyDescent="0.2">
      <c r="A31" s="25" t="s">
        <v>6</v>
      </c>
      <c r="B31" s="26" t="s">
        <v>76</v>
      </c>
      <c r="C31" s="26" t="s">
        <v>141</v>
      </c>
      <c r="D31" s="27" t="str">
        <f t="shared" si="1"/>
        <v>Presidência</v>
      </c>
      <c r="E31" s="27" t="str">
        <f t="shared" si="2"/>
        <v>Finanças e Relações com Investidores</v>
      </c>
      <c r="F31" s="27" t="str">
        <f t="shared" si="3"/>
        <v>Tesouraria e Análise de Desempenho</v>
      </c>
      <c r="G31" s="27" t="str">
        <f t="shared" si="4"/>
        <v>Seguros</v>
      </c>
      <c r="H31" s="27" t="str">
        <f t="shared" si="5"/>
        <v>Seguros</v>
      </c>
      <c r="I31" s="27" t="str">
        <f t="shared" si="6"/>
        <v>Seguros</v>
      </c>
      <c r="J31" s="27" t="str">
        <f t="shared" si="7"/>
        <v>Seguros</v>
      </c>
      <c r="K31" s="28" t="s">
        <v>142</v>
      </c>
      <c r="L31" s="28">
        <v>41680</v>
      </c>
      <c r="M31" s="29" t="s">
        <v>143</v>
      </c>
      <c r="N31" s="28" t="s">
        <v>22</v>
      </c>
      <c r="O31" s="28" t="s">
        <v>144</v>
      </c>
      <c r="P31" s="28"/>
      <c r="Q31" s="28"/>
      <c r="R31" s="28" t="s">
        <v>35</v>
      </c>
      <c r="S31" s="28" t="s">
        <v>25</v>
      </c>
    </row>
    <row r="32" spans="1:19" ht="15" hidden="1" customHeight="1" x14ac:dyDescent="0.2">
      <c r="A32" s="25" t="s">
        <v>6</v>
      </c>
      <c r="B32" s="26" t="s">
        <v>76</v>
      </c>
      <c r="C32" s="26" t="s">
        <v>145</v>
      </c>
      <c r="D32" s="27" t="str">
        <f t="shared" si="1"/>
        <v>Presidência</v>
      </c>
      <c r="E32" s="27" t="str">
        <f t="shared" si="2"/>
        <v>Finanças e Relações com Investidores</v>
      </c>
      <c r="F32" s="27" t="str">
        <f t="shared" si="3"/>
        <v>Tesouraria e Análise de Desempenho</v>
      </c>
      <c r="G32" s="27" t="str">
        <f t="shared" si="4"/>
        <v>Planejamento de Caixa</v>
      </c>
      <c r="H32" s="27" t="str">
        <f t="shared" si="5"/>
        <v>Planejamento de Caixa</v>
      </c>
      <c r="I32" s="27" t="str">
        <f t="shared" si="6"/>
        <v>Planejamento de Caixa</v>
      </c>
      <c r="J32" s="27" t="str">
        <f t="shared" si="7"/>
        <v>Planejamento de Caixa</v>
      </c>
      <c r="K32" s="28" t="s">
        <v>146</v>
      </c>
      <c r="L32" s="28">
        <v>196863</v>
      </c>
      <c r="M32" s="29" t="s">
        <v>147</v>
      </c>
      <c r="N32" s="28" t="s">
        <v>22</v>
      </c>
      <c r="O32" s="28" t="s">
        <v>148</v>
      </c>
      <c r="P32" s="28"/>
      <c r="Q32" s="28"/>
      <c r="R32" s="28" t="s">
        <v>30</v>
      </c>
      <c r="S32" s="28" t="s">
        <v>25</v>
      </c>
    </row>
    <row r="33" spans="1:19" ht="15" hidden="1" customHeight="1" x14ac:dyDescent="0.2">
      <c r="A33" s="30" t="s">
        <v>7</v>
      </c>
      <c r="B33" s="31" t="s">
        <v>76</v>
      </c>
      <c r="C33" s="31" t="s">
        <v>149</v>
      </c>
      <c r="D33" s="32" t="str">
        <f t="shared" si="1"/>
        <v>Presidência</v>
      </c>
      <c r="E33" s="32" t="str">
        <f t="shared" si="2"/>
        <v>Finanças e Relações com Investidores</v>
      </c>
      <c r="F33" s="32" t="str">
        <f t="shared" si="3"/>
        <v>Tesouraria e Análise de Desempenho</v>
      </c>
      <c r="G33" s="32" t="str">
        <f t="shared" si="4"/>
        <v>Planejamento de Caixa</v>
      </c>
      <c r="H33" s="32" t="str">
        <f t="shared" si="5"/>
        <v>Resultado Financeiro</v>
      </c>
      <c r="I33" s="32" t="str">
        <f t="shared" si="6"/>
        <v>Resultado Financeiro</v>
      </c>
      <c r="J33" s="32" t="str">
        <f t="shared" si="7"/>
        <v>Resultado Financeiro</v>
      </c>
      <c r="K33" s="33" t="s">
        <v>150</v>
      </c>
      <c r="L33" s="33">
        <v>340566</v>
      </c>
      <c r="M33" s="34" t="s">
        <v>151</v>
      </c>
      <c r="N33" s="33" t="s">
        <v>22</v>
      </c>
      <c r="O33" s="33" t="s">
        <v>148</v>
      </c>
      <c r="P33" s="33"/>
      <c r="Q33" s="33"/>
      <c r="R33" s="33" t="s">
        <v>35</v>
      </c>
      <c r="S33" s="33" t="s">
        <v>25</v>
      </c>
    </row>
    <row r="34" spans="1:19" ht="15" hidden="1" customHeight="1" x14ac:dyDescent="0.2">
      <c r="A34" s="25" t="s">
        <v>6</v>
      </c>
      <c r="B34" s="26" t="s">
        <v>76</v>
      </c>
      <c r="C34" s="26" t="s">
        <v>152</v>
      </c>
      <c r="D34" s="27" t="str">
        <f t="shared" si="1"/>
        <v>Presidência</v>
      </c>
      <c r="E34" s="27" t="str">
        <f t="shared" si="2"/>
        <v>Finanças e Relações com Investidores</v>
      </c>
      <c r="F34" s="27" t="str">
        <f t="shared" si="3"/>
        <v>Tesouraria e Análise de Desempenho</v>
      </c>
      <c r="G34" s="27" t="str">
        <f t="shared" si="4"/>
        <v>Torre Controle RJ e Contas a Pagar</v>
      </c>
      <c r="H34" s="27" t="str">
        <f t="shared" si="5"/>
        <v>Torre Controle RJ e Contas a Pagar</v>
      </c>
      <c r="I34" s="27" t="str">
        <f t="shared" si="6"/>
        <v>Torre Controle RJ e Contas a Pagar</v>
      </c>
      <c r="J34" s="27" t="str">
        <f t="shared" si="7"/>
        <v>Torre Controle RJ e Contas a Pagar</v>
      </c>
      <c r="K34" s="28" t="s">
        <v>153</v>
      </c>
      <c r="L34" s="28">
        <v>57486</v>
      </c>
      <c r="M34" s="29" t="s">
        <v>154</v>
      </c>
      <c r="N34" s="28" t="s">
        <v>22</v>
      </c>
      <c r="O34" s="28" t="s">
        <v>155</v>
      </c>
      <c r="P34" s="28"/>
      <c r="Q34" s="28"/>
      <c r="R34" s="28" t="s">
        <v>30</v>
      </c>
      <c r="S34" s="28" t="s">
        <v>25</v>
      </c>
    </row>
    <row r="35" spans="1:19" ht="15" hidden="1" customHeight="1" x14ac:dyDescent="0.2">
      <c r="A35" s="30" t="s">
        <v>7</v>
      </c>
      <c r="B35" s="31" t="s">
        <v>76</v>
      </c>
      <c r="C35" s="31" t="s">
        <v>156</v>
      </c>
      <c r="D35" s="32" t="str">
        <f t="shared" si="1"/>
        <v>Presidência</v>
      </c>
      <c r="E35" s="32" t="str">
        <f t="shared" si="2"/>
        <v>Finanças e Relações com Investidores</v>
      </c>
      <c r="F35" s="32" t="str">
        <f t="shared" si="3"/>
        <v>Tesouraria e Análise de Desempenho</v>
      </c>
      <c r="G35" s="32" t="str">
        <f t="shared" si="4"/>
        <v>Torre Controle RJ e Contas a Pagar</v>
      </c>
      <c r="H35" s="32" t="str">
        <f t="shared" si="5"/>
        <v>Contas a Pagar</v>
      </c>
      <c r="I35" s="32" t="str">
        <f t="shared" si="6"/>
        <v>Contas a Pagar</v>
      </c>
      <c r="J35" s="32" t="str">
        <f t="shared" si="7"/>
        <v>Contas a Pagar</v>
      </c>
      <c r="K35" s="33" t="s">
        <v>157</v>
      </c>
      <c r="L35" s="33">
        <v>346307</v>
      </c>
      <c r="M35" s="34" t="s">
        <v>158</v>
      </c>
      <c r="N35" s="33" t="s">
        <v>22</v>
      </c>
      <c r="O35" s="33" t="s">
        <v>155</v>
      </c>
      <c r="P35" s="33"/>
      <c r="Q35" s="33"/>
      <c r="R35" s="33" t="s">
        <v>35</v>
      </c>
      <c r="S35" s="33" t="s">
        <v>25</v>
      </c>
    </row>
    <row r="36" spans="1:19" ht="15" hidden="1" customHeight="1" x14ac:dyDescent="0.2">
      <c r="A36" s="30" t="s">
        <v>7</v>
      </c>
      <c r="B36" s="31" t="s">
        <v>76</v>
      </c>
      <c r="C36" s="31" t="s">
        <v>159</v>
      </c>
      <c r="D36" s="32" t="str">
        <f t="shared" si="1"/>
        <v>Presidência</v>
      </c>
      <c r="E36" s="32" t="str">
        <f t="shared" si="2"/>
        <v>Finanças e Relações com Investidores</v>
      </c>
      <c r="F36" s="32" t="str">
        <f t="shared" si="3"/>
        <v>Tesouraria e Análise de Desempenho</v>
      </c>
      <c r="G36" s="32" t="str">
        <f t="shared" si="4"/>
        <v>Torre Controle RJ e Contas a Pagar</v>
      </c>
      <c r="H36" s="32" t="str">
        <f t="shared" si="5"/>
        <v>Torre Controle RJ</v>
      </c>
      <c r="I36" s="32" t="str">
        <f t="shared" si="6"/>
        <v>Torre Controle RJ</v>
      </c>
      <c r="J36" s="32" t="str">
        <f t="shared" si="7"/>
        <v>Torre Controle RJ</v>
      </c>
      <c r="K36" s="33" t="s">
        <v>160</v>
      </c>
      <c r="L36" s="33">
        <v>165661</v>
      </c>
      <c r="M36" s="34" t="s">
        <v>161</v>
      </c>
      <c r="N36" s="33" t="s">
        <v>22</v>
      </c>
      <c r="O36" s="33" t="s">
        <v>155</v>
      </c>
      <c r="P36" s="33"/>
      <c r="Q36" s="33"/>
      <c r="R36" s="33" t="s">
        <v>35</v>
      </c>
      <c r="S36" s="33" t="s">
        <v>25</v>
      </c>
    </row>
    <row r="37" spans="1:19" ht="15" hidden="1" customHeight="1" x14ac:dyDescent="0.2">
      <c r="A37" s="14" t="s">
        <v>5</v>
      </c>
      <c r="B37" s="15" t="s">
        <v>76</v>
      </c>
      <c r="C37" s="15" t="s">
        <v>162</v>
      </c>
      <c r="D37" s="16" t="str">
        <f t="shared" si="1"/>
        <v>Presidência</v>
      </c>
      <c r="E37" s="16" t="str">
        <f t="shared" si="2"/>
        <v>Finanças e Relações com Investidores</v>
      </c>
      <c r="F37" s="16" t="str">
        <f t="shared" si="3"/>
        <v>Tributos</v>
      </c>
      <c r="G37" s="16" t="str">
        <f t="shared" si="4"/>
        <v>Tributos</v>
      </c>
      <c r="H37" s="16" t="str">
        <f t="shared" si="5"/>
        <v>Tributos</v>
      </c>
      <c r="I37" s="16" t="str">
        <f t="shared" si="6"/>
        <v>Tributos</v>
      </c>
      <c r="J37" s="16" t="str">
        <f t="shared" si="7"/>
        <v>Tributos</v>
      </c>
      <c r="K37" s="17" t="s">
        <v>163</v>
      </c>
      <c r="L37" s="17">
        <v>16235</v>
      </c>
      <c r="M37" s="18" t="s">
        <v>164</v>
      </c>
      <c r="N37" s="17" t="s">
        <v>22</v>
      </c>
      <c r="O37" s="17" t="s">
        <v>165</v>
      </c>
      <c r="P37" s="17"/>
      <c r="Q37" s="17"/>
      <c r="R37" s="17" t="s">
        <v>30</v>
      </c>
      <c r="S37" s="17" t="s">
        <v>25</v>
      </c>
    </row>
    <row r="38" spans="1:19" ht="15" hidden="1" customHeight="1" x14ac:dyDescent="0.2">
      <c r="A38" s="25" t="s">
        <v>6</v>
      </c>
      <c r="B38" s="26" t="s">
        <v>76</v>
      </c>
      <c r="C38" s="26" t="s">
        <v>166</v>
      </c>
      <c r="D38" s="27" t="str">
        <f t="shared" si="1"/>
        <v>Presidência</v>
      </c>
      <c r="E38" s="27" t="str">
        <f t="shared" si="2"/>
        <v>Finanças e Relações com Investidores</v>
      </c>
      <c r="F38" s="27" t="str">
        <f t="shared" si="3"/>
        <v>Tributos</v>
      </c>
      <c r="G38" s="27" t="str">
        <f t="shared" si="4"/>
        <v>Tributos Diretos</v>
      </c>
      <c r="H38" s="27" t="str">
        <f t="shared" si="5"/>
        <v>Tributos Diretos</v>
      </c>
      <c r="I38" s="27" t="str">
        <f t="shared" si="6"/>
        <v>Tributos Diretos</v>
      </c>
      <c r="J38" s="27" t="str">
        <f t="shared" si="7"/>
        <v>Tributos Diretos</v>
      </c>
      <c r="K38" s="28" t="s">
        <v>167</v>
      </c>
      <c r="L38" s="28">
        <v>55321</v>
      </c>
      <c r="M38" s="29" t="s">
        <v>168</v>
      </c>
      <c r="N38" s="28" t="s">
        <v>22</v>
      </c>
      <c r="O38" s="28" t="s">
        <v>169</v>
      </c>
      <c r="P38" s="28"/>
      <c r="Q38" s="28"/>
      <c r="R38" s="28" t="s">
        <v>35</v>
      </c>
      <c r="S38" s="28" t="s">
        <v>25</v>
      </c>
    </row>
    <row r="39" spans="1:19" ht="15" hidden="1" customHeight="1" x14ac:dyDescent="0.2">
      <c r="A39" s="25" t="s">
        <v>6</v>
      </c>
      <c r="B39" s="26" t="s">
        <v>76</v>
      </c>
      <c r="C39" s="26" t="s">
        <v>170</v>
      </c>
      <c r="D39" s="27" t="str">
        <f t="shared" si="1"/>
        <v>Presidência</v>
      </c>
      <c r="E39" s="27" t="str">
        <f t="shared" si="2"/>
        <v>Finanças e Relações com Investidores</v>
      </c>
      <c r="F39" s="27" t="str">
        <f t="shared" si="3"/>
        <v>Tributos</v>
      </c>
      <c r="G39" s="27" t="str">
        <f t="shared" si="4"/>
        <v>Tributos Indiretos</v>
      </c>
      <c r="H39" s="27" t="str">
        <f t="shared" si="5"/>
        <v>Tributos Indiretos</v>
      </c>
      <c r="I39" s="27" t="str">
        <f t="shared" si="6"/>
        <v>Tributos Indiretos</v>
      </c>
      <c r="J39" s="27" t="str">
        <f t="shared" si="7"/>
        <v>Tributos Indiretos</v>
      </c>
      <c r="K39" s="28" t="s">
        <v>171</v>
      </c>
      <c r="L39" s="28">
        <v>114895</v>
      </c>
      <c r="M39" s="29" t="s">
        <v>172</v>
      </c>
      <c r="N39" s="28" t="s">
        <v>22</v>
      </c>
      <c r="O39" s="28" t="s">
        <v>173</v>
      </c>
      <c r="P39" s="28"/>
      <c r="Q39" s="28"/>
      <c r="R39" s="28" t="s">
        <v>35</v>
      </c>
      <c r="S39" s="28" t="s">
        <v>25</v>
      </c>
    </row>
    <row r="40" spans="1:19" ht="15" hidden="1" customHeight="1" x14ac:dyDescent="0.2">
      <c r="A40" s="25" t="s">
        <v>6</v>
      </c>
      <c r="B40" s="26" t="s">
        <v>76</v>
      </c>
      <c r="C40" s="26" t="s">
        <v>174</v>
      </c>
      <c r="D40" s="27" t="str">
        <f t="shared" si="1"/>
        <v>Presidência</v>
      </c>
      <c r="E40" s="27" t="str">
        <f t="shared" si="2"/>
        <v>Finanças e Relações com Investidores</v>
      </c>
      <c r="F40" s="27" t="str">
        <f t="shared" si="3"/>
        <v>Tributos</v>
      </c>
      <c r="G40" s="27" t="str">
        <f t="shared" si="4"/>
        <v>Posto Fiscal</v>
      </c>
      <c r="H40" s="27" t="str">
        <f t="shared" si="5"/>
        <v>Posto Fiscal</v>
      </c>
      <c r="I40" s="27" t="str">
        <f t="shared" si="6"/>
        <v>Posto Fiscal</v>
      </c>
      <c r="J40" s="27" t="str">
        <f t="shared" si="7"/>
        <v>Posto Fiscal</v>
      </c>
      <c r="K40" s="28" t="s">
        <v>175</v>
      </c>
      <c r="L40" s="28">
        <v>101723</v>
      </c>
      <c r="M40" s="29" t="s">
        <v>176</v>
      </c>
      <c r="N40" s="28" t="s">
        <v>22</v>
      </c>
      <c r="O40" s="28" t="s">
        <v>177</v>
      </c>
      <c r="P40" s="28"/>
      <c r="Q40" s="28"/>
      <c r="R40" s="28" t="s">
        <v>35</v>
      </c>
      <c r="S40" s="28" t="s">
        <v>25</v>
      </c>
    </row>
    <row r="41" spans="1:19" ht="15" hidden="1" customHeight="1" x14ac:dyDescent="0.2">
      <c r="A41" s="14" t="s">
        <v>5</v>
      </c>
      <c r="B41" s="15" t="s">
        <v>76</v>
      </c>
      <c r="C41" s="15" t="s">
        <v>178</v>
      </c>
      <c r="D41" s="16" t="str">
        <f t="shared" si="1"/>
        <v>Presidência</v>
      </c>
      <c r="E41" s="16" t="str">
        <f t="shared" si="2"/>
        <v>Finanças e Relações com Investidores</v>
      </c>
      <c r="F41" s="16" t="str">
        <f t="shared" si="3"/>
        <v>Ciclo da Receita</v>
      </c>
      <c r="G41" s="16" t="str">
        <f t="shared" si="4"/>
        <v>Ciclo da Receita</v>
      </c>
      <c r="H41" s="16" t="str">
        <f t="shared" si="5"/>
        <v>Ciclo da Receita</v>
      </c>
      <c r="I41" s="16" t="str">
        <f t="shared" si="6"/>
        <v>Ciclo da Receita</v>
      </c>
      <c r="J41" s="16" t="str">
        <f t="shared" si="7"/>
        <v>Ciclo da Receita</v>
      </c>
      <c r="K41" s="17" t="s">
        <v>179</v>
      </c>
      <c r="L41" s="17">
        <v>16132</v>
      </c>
      <c r="M41" s="18" t="s">
        <v>180</v>
      </c>
      <c r="N41" s="17" t="s">
        <v>22</v>
      </c>
      <c r="O41" s="17" t="s">
        <v>181</v>
      </c>
      <c r="P41" s="17"/>
      <c r="Q41" s="17"/>
      <c r="R41" s="17" t="s">
        <v>30</v>
      </c>
      <c r="S41" s="17" t="s">
        <v>25</v>
      </c>
    </row>
    <row r="42" spans="1:19" ht="15" hidden="1" customHeight="1" x14ac:dyDescent="0.2">
      <c r="A42" s="25" t="s">
        <v>6</v>
      </c>
      <c r="B42" s="26" t="s">
        <v>76</v>
      </c>
      <c r="C42" s="26" t="s">
        <v>182</v>
      </c>
      <c r="D42" s="27" t="str">
        <f t="shared" si="1"/>
        <v>Presidência</v>
      </c>
      <c r="E42" s="27" t="str">
        <f t="shared" si="2"/>
        <v>Finanças e Relações com Investidores</v>
      </c>
      <c r="F42" s="27" t="str">
        <f t="shared" si="3"/>
        <v>Ciclo da Receita</v>
      </c>
      <c r="G42" s="27" t="str">
        <f t="shared" si="4"/>
        <v>Arrecadação e Cobrança Varejo</v>
      </c>
      <c r="H42" s="27" t="str">
        <f t="shared" si="5"/>
        <v>Arrecadação e Cobrança Varejo</v>
      </c>
      <c r="I42" s="27" t="str">
        <f t="shared" si="6"/>
        <v>Arrecadação e Cobrança Varejo</v>
      </c>
      <c r="J42" s="27" t="str">
        <f t="shared" si="7"/>
        <v>Arrecadação e Cobrança Varejo</v>
      </c>
      <c r="K42" s="28" t="s">
        <v>183</v>
      </c>
      <c r="L42" s="28">
        <v>193295</v>
      </c>
      <c r="M42" s="29" t="s">
        <v>184</v>
      </c>
      <c r="N42" s="28" t="s">
        <v>22</v>
      </c>
      <c r="O42" s="28" t="s">
        <v>185</v>
      </c>
      <c r="P42" s="28"/>
      <c r="Q42" s="28"/>
      <c r="R42" s="28" t="s">
        <v>35</v>
      </c>
      <c r="S42" s="28" t="s">
        <v>25</v>
      </c>
    </row>
    <row r="43" spans="1:19" ht="15" hidden="1" customHeight="1" x14ac:dyDescent="0.2">
      <c r="A43" s="25" t="s">
        <v>6</v>
      </c>
      <c r="B43" s="26" t="s">
        <v>76</v>
      </c>
      <c r="C43" s="26" t="s">
        <v>186</v>
      </c>
      <c r="D43" s="27" t="str">
        <f t="shared" si="1"/>
        <v>Presidência</v>
      </c>
      <c r="E43" s="27" t="str">
        <f t="shared" si="2"/>
        <v>Finanças e Relações com Investidores</v>
      </c>
      <c r="F43" s="27" t="str">
        <f t="shared" si="3"/>
        <v>Ciclo da Receita</v>
      </c>
      <c r="G43" s="27" t="str">
        <f t="shared" si="4"/>
        <v>Governança, Trafego e Projetos</v>
      </c>
      <c r="H43" s="27" t="str">
        <f t="shared" si="5"/>
        <v>Governança, Trafego e Projetos</v>
      </c>
      <c r="I43" s="27" t="str">
        <f t="shared" si="6"/>
        <v>Governança, Trafego e Projetos</v>
      </c>
      <c r="J43" s="27" t="str">
        <f t="shared" si="7"/>
        <v>Governança, Trafego e Projetos</v>
      </c>
      <c r="K43" s="28" t="s">
        <v>187</v>
      </c>
      <c r="L43" s="28">
        <v>234975</v>
      </c>
      <c r="M43" s="29" t="s">
        <v>188</v>
      </c>
      <c r="N43" s="28" t="s">
        <v>22</v>
      </c>
      <c r="O43" s="28" t="s">
        <v>189</v>
      </c>
      <c r="P43" s="28"/>
      <c r="Q43" s="28"/>
      <c r="R43" s="28" t="s">
        <v>35</v>
      </c>
      <c r="S43" s="28" t="s">
        <v>25</v>
      </c>
    </row>
    <row r="44" spans="1:19" ht="15" hidden="1" customHeight="1" x14ac:dyDescent="0.2">
      <c r="A44" s="25" t="s">
        <v>6</v>
      </c>
      <c r="B44" s="26" t="s">
        <v>76</v>
      </c>
      <c r="C44" s="26" t="s">
        <v>190</v>
      </c>
      <c r="D44" s="27" t="str">
        <f t="shared" si="1"/>
        <v>Presidência</v>
      </c>
      <c r="E44" s="27" t="str">
        <f t="shared" si="2"/>
        <v>Finanças e Relações com Investidores</v>
      </c>
      <c r="F44" s="27" t="str">
        <f t="shared" si="3"/>
        <v>Ciclo da Receita</v>
      </c>
      <c r="G44" s="27" t="str">
        <f t="shared" si="4"/>
        <v>Cobrança Corporativa e Atacado</v>
      </c>
      <c r="H44" s="27" t="str">
        <f t="shared" si="5"/>
        <v>Cobrança Corporativa e Atacado</v>
      </c>
      <c r="I44" s="27" t="str">
        <f t="shared" si="6"/>
        <v>Cobrança Corporativa e Atacado</v>
      </c>
      <c r="J44" s="27" t="str">
        <f t="shared" si="7"/>
        <v>Cobrança Corporativa e Atacado</v>
      </c>
      <c r="K44" s="28" t="s">
        <v>191</v>
      </c>
      <c r="L44" s="28">
        <v>90878</v>
      </c>
      <c r="M44" s="38" t="s">
        <v>192</v>
      </c>
      <c r="N44" s="28" t="s">
        <v>22</v>
      </c>
      <c r="O44" s="28" t="s">
        <v>193</v>
      </c>
      <c r="P44" s="28"/>
      <c r="Q44" s="28"/>
      <c r="R44" s="28" t="s">
        <v>35</v>
      </c>
      <c r="S44" s="28" t="s">
        <v>25</v>
      </c>
    </row>
    <row r="45" spans="1:19" ht="15" hidden="1" customHeight="1" x14ac:dyDescent="0.2">
      <c r="A45" s="25" t="s">
        <v>6</v>
      </c>
      <c r="B45" s="26" t="s">
        <v>76</v>
      </c>
      <c r="C45" s="26" t="s">
        <v>194</v>
      </c>
      <c r="D45" s="27" t="str">
        <f t="shared" si="1"/>
        <v>Presidência</v>
      </c>
      <c r="E45" s="27" t="str">
        <f t="shared" si="2"/>
        <v>Finanças e Relações com Investidores</v>
      </c>
      <c r="F45" s="27" t="str">
        <f t="shared" si="3"/>
        <v>Ciclo da Receita</v>
      </c>
      <c r="G45" s="27" t="str">
        <f t="shared" si="4"/>
        <v>Prevenção a Fraude e RA</v>
      </c>
      <c r="H45" s="27" t="str">
        <f t="shared" si="5"/>
        <v>Prevenção a Fraude e RA</v>
      </c>
      <c r="I45" s="27" t="str">
        <f t="shared" si="6"/>
        <v>Prevenção a Fraude e RA</v>
      </c>
      <c r="J45" s="27" t="str">
        <f t="shared" si="7"/>
        <v>Prevenção a Fraude e RA</v>
      </c>
      <c r="K45" s="28" t="s">
        <v>195</v>
      </c>
      <c r="L45" s="28">
        <v>281854</v>
      </c>
      <c r="M45" s="29" t="s">
        <v>196</v>
      </c>
      <c r="N45" s="28" t="s">
        <v>22</v>
      </c>
      <c r="O45" s="28" t="s">
        <v>197</v>
      </c>
      <c r="P45" s="28"/>
      <c r="Q45" s="28"/>
      <c r="R45" s="28" t="s">
        <v>35</v>
      </c>
      <c r="S45" s="28" t="s">
        <v>25</v>
      </c>
    </row>
    <row r="46" spans="1:19" ht="15" hidden="1" customHeight="1" x14ac:dyDescent="0.2">
      <c r="A46" s="25" t="s">
        <v>6</v>
      </c>
      <c r="B46" s="26" t="s">
        <v>76</v>
      </c>
      <c r="C46" s="26" t="s">
        <v>198</v>
      </c>
      <c r="D46" s="27" t="str">
        <f t="shared" si="1"/>
        <v>Presidência</v>
      </c>
      <c r="E46" s="27" t="str">
        <f t="shared" si="2"/>
        <v>Finanças e Relações com Investidores</v>
      </c>
      <c r="F46" s="27" t="str">
        <f t="shared" si="3"/>
        <v>Ciclo da Receita</v>
      </c>
      <c r="G46" s="27" t="str">
        <f t="shared" si="4"/>
        <v>Cadastro de Produtos, Ofertas e Clientes</v>
      </c>
      <c r="H46" s="27" t="str">
        <f t="shared" si="5"/>
        <v>Cadastro de Produtos, Ofertas e Clientes</v>
      </c>
      <c r="I46" s="27" t="str">
        <f t="shared" si="6"/>
        <v>Cadastro de Produtos, Ofertas e Clientes</v>
      </c>
      <c r="J46" s="27" t="str">
        <f t="shared" si="7"/>
        <v>Cadastro de Produtos, Ofertas e Clientes</v>
      </c>
      <c r="K46" s="28" t="s">
        <v>199</v>
      </c>
      <c r="L46" s="28">
        <v>38362</v>
      </c>
      <c r="M46" s="29" t="s">
        <v>200</v>
      </c>
      <c r="N46" s="28" t="s">
        <v>22</v>
      </c>
      <c r="O46" s="28" t="s">
        <v>201</v>
      </c>
      <c r="P46" s="28"/>
      <c r="Q46" s="28"/>
      <c r="R46" s="28" t="s">
        <v>35</v>
      </c>
      <c r="S46" s="28" t="s">
        <v>25</v>
      </c>
    </row>
    <row r="47" spans="1:19" ht="15" hidden="1" customHeight="1" x14ac:dyDescent="0.2">
      <c r="A47" s="25" t="s">
        <v>6</v>
      </c>
      <c r="B47" s="26" t="s">
        <v>76</v>
      </c>
      <c r="C47" s="26" t="s">
        <v>202</v>
      </c>
      <c r="D47" s="27" t="str">
        <f t="shared" si="1"/>
        <v>Presidência</v>
      </c>
      <c r="E47" s="27" t="str">
        <f t="shared" si="2"/>
        <v>Finanças e Relações com Investidores</v>
      </c>
      <c r="F47" s="27" t="str">
        <f t="shared" si="3"/>
        <v>Ciclo da Receita</v>
      </c>
      <c r="G47" s="27" t="str">
        <f t="shared" si="4"/>
        <v>Faturamento de Clientes</v>
      </c>
      <c r="H47" s="27" t="str">
        <f t="shared" si="5"/>
        <v>Faturamento de Clientes</v>
      </c>
      <c r="I47" s="27" t="str">
        <f t="shared" si="6"/>
        <v>Faturamento de Clientes</v>
      </c>
      <c r="J47" s="27" t="str">
        <f t="shared" si="7"/>
        <v>Faturamento de Clientes</v>
      </c>
      <c r="K47" s="28" t="s">
        <v>203</v>
      </c>
      <c r="L47" s="28">
        <v>34494</v>
      </c>
      <c r="M47" s="29" t="s">
        <v>204</v>
      </c>
      <c r="N47" s="28" t="s">
        <v>22</v>
      </c>
      <c r="O47" s="28" t="s">
        <v>205</v>
      </c>
      <c r="P47" s="28"/>
      <c r="Q47" s="28"/>
      <c r="R47" s="28" t="s">
        <v>35</v>
      </c>
      <c r="S47" s="28" t="s">
        <v>25</v>
      </c>
    </row>
    <row r="48" spans="1:19" ht="15" customHeight="1" x14ac:dyDescent="0.2">
      <c r="A48" s="9" t="s">
        <v>4</v>
      </c>
      <c r="B48" s="10" t="s">
        <v>206</v>
      </c>
      <c r="C48" s="10" t="s">
        <v>206</v>
      </c>
      <c r="D48" s="11" t="str">
        <f t="shared" si="1"/>
        <v>Presidência</v>
      </c>
      <c r="E48" s="11" t="str">
        <f t="shared" si="2"/>
        <v>Suporte ao Negócio</v>
      </c>
      <c r="F48" s="11" t="str">
        <f t="shared" si="3"/>
        <v>Suporte ao Negócio</v>
      </c>
      <c r="G48" s="11" t="str">
        <f t="shared" si="4"/>
        <v>Suporte ao Negócio</v>
      </c>
      <c r="H48" s="11" t="str">
        <f t="shared" si="5"/>
        <v>Suporte ao Negócio</v>
      </c>
      <c r="I48" s="11" t="str">
        <f t="shared" si="6"/>
        <v>Suporte ao Negócio</v>
      </c>
      <c r="J48" s="11" t="str">
        <f t="shared" si="7"/>
        <v>Suporte ao Negócio</v>
      </c>
      <c r="K48" s="12" t="s">
        <v>207</v>
      </c>
      <c r="L48" s="12">
        <v>414047</v>
      </c>
      <c r="M48" s="13" t="s">
        <v>208</v>
      </c>
      <c r="N48" s="12" t="s">
        <v>22</v>
      </c>
      <c r="O48" s="12" t="s">
        <v>209</v>
      </c>
      <c r="P48" s="12"/>
      <c r="Q48" s="12"/>
      <c r="R48" s="12" t="s">
        <v>30</v>
      </c>
      <c r="S48" s="12" t="s">
        <v>25</v>
      </c>
    </row>
    <row r="49" spans="1:19" ht="15" hidden="1" customHeight="1" x14ac:dyDescent="0.2">
      <c r="A49" s="14" t="s">
        <v>5</v>
      </c>
      <c r="B49" s="15" t="s">
        <v>206</v>
      </c>
      <c r="C49" s="15" t="s">
        <v>210</v>
      </c>
      <c r="D49" s="16" t="str">
        <f t="shared" si="1"/>
        <v>Presidência</v>
      </c>
      <c r="E49" s="16" t="str">
        <f t="shared" si="2"/>
        <v>Suporte ao Negócio</v>
      </c>
      <c r="F49" s="16" t="str">
        <f t="shared" si="3"/>
        <v>Suprimentos</v>
      </c>
      <c r="G49" s="16" t="str">
        <f t="shared" si="4"/>
        <v>Suprimentos</v>
      </c>
      <c r="H49" s="16" t="str">
        <f t="shared" si="5"/>
        <v>Suprimentos</v>
      </c>
      <c r="I49" s="16" t="str">
        <f t="shared" si="6"/>
        <v>Suprimentos</v>
      </c>
      <c r="J49" s="16" t="str">
        <f t="shared" si="7"/>
        <v>Suprimentos</v>
      </c>
      <c r="K49" s="17" t="s">
        <v>211</v>
      </c>
      <c r="L49" s="17">
        <v>414238</v>
      </c>
      <c r="M49" s="18" t="s">
        <v>212</v>
      </c>
      <c r="N49" s="17" t="s">
        <v>22</v>
      </c>
      <c r="O49" s="17" t="s">
        <v>213</v>
      </c>
      <c r="P49" s="17"/>
      <c r="Q49" s="17"/>
      <c r="R49" s="17" t="s">
        <v>30</v>
      </c>
      <c r="S49" s="17" t="s">
        <v>25</v>
      </c>
    </row>
    <row r="50" spans="1:19" ht="15" hidden="1" customHeight="1" x14ac:dyDescent="0.2">
      <c r="A50" s="25" t="s">
        <v>6</v>
      </c>
      <c r="B50" s="26" t="s">
        <v>206</v>
      </c>
      <c r="C50" s="26" t="s">
        <v>214</v>
      </c>
      <c r="D50" s="27" t="str">
        <f t="shared" si="1"/>
        <v>Presidência</v>
      </c>
      <c r="E50" s="27" t="str">
        <f t="shared" si="2"/>
        <v>Suporte ao Negócio</v>
      </c>
      <c r="F50" s="27" t="str">
        <f t="shared" si="3"/>
        <v>Suprimentos</v>
      </c>
      <c r="G50" s="27" t="str">
        <f t="shared" si="4"/>
        <v>Estratégia e Compras Corporativas</v>
      </c>
      <c r="H50" s="27" t="str">
        <f t="shared" si="5"/>
        <v>Estratégia e Compras Corporativas</v>
      </c>
      <c r="I50" s="27" t="str">
        <f t="shared" si="6"/>
        <v>Estratégia e Compras Corporativas</v>
      </c>
      <c r="J50" s="27" t="str">
        <f t="shared" si="7"/>
        <v>Estratégia e Compras Corporativas</v>
      </c>
      <c r="K50" s="28" t="s">
        <v>215</v>
      </c>
      <c r="L50" s="28">
        <v>273267</v>
      </c>
      <c r="M50" s="29" t="s">
        <v>216</v>
      </c>
      <c r="N50" s="28" t="s">
        <v>22</v>
      </c>
      <c r="O50" s="28" t="s">
        <v>217</v>
      </c>
      <c r="P50" s="28"/>
      <c r="Q50" s="28"/>
      <c r="R50" s="28" t="s">
        <v>35</v>
      </c>
      <c r="S50" s="28" t="s">
        <v>25</v>
      </c>
    </row>
    <row r="51" spans="1:19" ht="15" hidden="1" customHeight="1" x14ac:dyDescent="0.2">
      <c r="A51" s="25" t="s">
        <v>6</v>
      </c>
      <c r="B51" s="26" t="s">
        <v>206</v>
      </c>
      <c r="C51" s="26" t="s">
        <v>218</v>
      </c>
      <c r="D51" s="27" t="str">
        <f t="shared" si="1"/>
        <v>Presidência</v>
      </c>
      <c r="E51" s="27" t="str">
        <f t="shared" si="2"/>
        <v>Suporte ao Negócio</v>
      </c>
      <c r="F51" s="27" t="str">
        <f t="shared" si="3"/>
        <v>Suprimentos</v>
      </c>
      <c r="G51" s="27" t="str">
        <f t="shared" si="4"/>
        <v>Compra Indiretas</v>
      </c>
      <c r="H51" s="27" t="str">
        <f t="shared" si="5"/>
        <v>Compra Indiretas</v>
      </c>
      <c r="I51" s="27" t="str">
        <f t="shared" si="6"/>
        <v>Compra Indiretas</v>
      </c>
      <c r="J51" s="27" t="str">
        <f t="shared" si="7"/>
        <v>Compra Indiretas</v>
      </c>
      <c r="K51" s="28" t="s">
        <v>219</v>
      </c>
      <c r="L51" s="28">
        <v>348737</v>
      </c>
      <c r="M51" s="29" t="s">
        <v>220</v>
      </c>
      <c r="N51" s="28" t="s">
        <v>22</v>
      </c>
      <c r="O51" s="28" t="s">
        <v>221</v>
      </c>
      <c r="P51" s="28"/>
      <c r="Q51" s="28"/>
      <c r="R51" s="28" t="s">
        <v>35</v>
      </c>
      <c r="S51" s="28" t="s">
        <v>25</v>
      </c>
    </row>
    <row r="52" spans="1:19" ht="15" hidden="1" customHeight="1" x14ac:dyDescent="0.2">
      <c r="A52" s="25" t="s">
        <v>6</v>
      </c>
      <c r="B52" s="26" t="s">
        <v>206</v>
      </c>
      <c r="C52" s="26" t="s">
        <v>222</v>
      </c>
      <c r="D52" s="27" t="str">
        <f t="shared" si="1"/>
        <v>Presidência</v>
      </c>
      <c r="E52" s="27" t="str">
        <f t="shared" si="2"/>
        <v>Suporte ao Negócio</v>
      </c>
      <c r="F52" s="27" t="str">
        <f t="shared" si="3"/>
        <v>Suprimentos</v>
      </c>
      <c r="G52" s="27" t="str">
        <f t="shared" si="4"/>
        <v>Compras diretas</v>
      </c>
      <c r="H52" s="27" t="str">
        <f t="shared" si="5"/>
        <v>Compras diretas</v>
      </c>
      <c r="I52" s="27" t="str">
        <f t="shared" si="6"/>
        <v>Compras diretas</v>
      </c>
      <c r="J52" s="27" t="str">
        <f t="shared" si="7"/>
        <v>Compras diretas</v>
      </c>
      <c r="K52" s="28" t="s">
        <v>223</v>
      </c>
      <c r="L52" s="28">
        <v>304004</v>
      </c>
      <c r="M52" s="29" t="s">
        <v>224</v>
      </c>
      <c r="N52" s="28" t="s">
        <v>22</v>
      </c>
      <c r="O52" s="28" t="s">
        <v>225</v>
      </c>
      <c r="P52" s="28"/>
      <c r="Q52" s="28"/>
      <c r="R52" s="28" t="s">
        <v>35</v>
      </c>
      <c r="S52" s="28" t="s">
        <v>25</v>
      </c>
    </row>
    <row r="53" spans="1:19" ht="15" hidden="1" customHeight="1" x14ac:dyDescent="0.2">
      <c r="A53" s="14" t="s">
        <v>5</v>
      </c>
      <c r="B53" s="15" t="s">
        <v>206</v>
      </c>
      <c r="C53" s="15" t="s">
        <v>226</v>
      </c>
      <c r="D53" s="16" t="str">
        <f t="shared" si="1"/>
        <v>Presidência</v>
      </c>
      <c r="E53" s="16" t="str">
        <f t="shared" si="2"/>
        <v>Suporte ao Negócio</v>
      </c>
      <c r="F53" s="16" t="str">
        <f t="shared" si="3"/>
        <v>Patrimônio</v>
      </c>
      <c r="G53" s="16" t="str">
        <f t="shared" si="4"/>
        <v>Patrimônio</v>
      </c>
      <c r="H53" s="16" t="str">
        <f t="shared" si="5"/>
        <v>Patrimônio</v>
      </c>
      <c r="I53" s="16" t="str">
        <f t="shared" si="6"/>
        <v>Patrimônio</v>
      </c>
      <c r="J53" s="16" t="str">
        <f t="shared" si="7"/>
        <v>Patrimônio</v>
      </c>
      <c r="K53" s="17" t="s">
        <v>227</v>
      </c>
      <c r="L53" s="17">
        <v>227326</v>
      </c>
      <c r="M53" s="18" t="s">
        <v>228</v>
      </c>
      <c r="N53" s="17" t="s">
        <v>22</v>
      </c>
      <c r="O53" s="17" t="s">
        <v>229</v>
      </c>
      <c r="P53" s="17"/>
      <c r="Q53" s="17"/>
      <c r="R53" s="17" t="s">
        <v>30</v>
      </c>
      <c r="S53" s="17" t="s">
        <v>25</v>
      </c>
    </row>
    <row r="54" spans="1:19" ht="15" hidden="1" customHeight="1" x14ac:dyDescent="0.2">
      <c r="A54" s="25" t="s">
        <v>6</v>
      </c>
      <c r="B54" s="26" t="s">
        <v>206</v>
      </c>
      <c r="C54" s="26" t="s">
        <v>230</v>
      </c>
      <c r="D54" s="27" t="str">
        <f t="shared" si="1"/>
        <v>Presidência</v>
      </c>
      <c r="E54" s="27" t="str">
        <f t="shared" si="2"/>
        <v>Suporte ao Negócio</v>
      </c>
      <c r="F54" s="27" t="str">
        <f t="shared" si="3"/>
        <v>Patrimônio</v>
      </c>
      <c r="G54" s="27" t="str">
        <f t="shared" si="4"/>
        <v>Facilities, Seguranca Emp. e Ações Restritas</v>
      </c>
      <c r="H54" s="27" t="str">
        <f t="shared" si="5"/>
        <v>Facilities, Seguranca Emp. e Ações Restritas</v>
      </c>
      <c r="I54" s="27" t="str">
        <f t="shared" si="6"/>
        <v>Facilities, Seguranca Emp. e Ações Restritas</v>
      </c>
      <c r="J54" s="27" t="str">
        <f t="shared" si="7"/>
        <v>Facilities, Seguranca Emp. e Ações Restritas</v>
      </c>
      <c r="K54" s="28" t="s">
        <v>231</v>
      </c>
      <c r="L54" s="28">
        <v>302599</v>
      </c>
      <c r="M54" s="29" t="s">
        <v>232</v>
      </c>
      <c r="N54" s="28" t="s">
        <v>22</v>
      </c>
      <c r="O54" s="28" t="s">
        <v>233</v>
      </c>
      <c r="P54" s="28"/>
      <c r="Q54" s="28"/>
      <c r="R54" s="28" t="s">
        <v>35</v>
      </c>
      <c r="S54" s="28" t="s">
        <v>25</v>
      </c>
    </row>
    <row r="55" spans="1:19" ht="15" hidden="1" customHeight="1" x14ac:dyDescent="0.2">
      <c r="A55" s="25" t="s">
        <v>6</v>
      </c>
      <c r="B55" s="26" t="s">
        <v>206</v>
      </c>
      <c r="C55" s="26" t="s">
        <v>234</v>
      </c>
      <c r="D55" s="27" t="str">
        <f t="shared" si="1"/>
        <v>Presidência</v>
      </c>
      <c r="E55" s="27" t="str">
        <f t="shared" si="2"/>
        <v>Suporte ao Negócio</v>
      </c>
      <c r="F55" s="27" t="str">
        <f t="shared" si="3"/>
        <v>Patrimônio</v>
      </c>
      <c r="G55" s="27" t="str">
        <f t="shared" si="4"/>
        <v>Contratos Patrimoniais e Postes</v>
      </c>
      <c r="H55" s="27" t="str">
        <f t="shared" si="5"/>
        <v>Contratos Patrimoniais e Postes</v>
      </c>
      <c r="I55" s="27" t="str">
        <f t="shared" si="6"/>
        <v>Contratos Patrimoniais e Postes</v>
      </c>
      <c r="J55" s="27" t="str">
        <f t="shared" si="7"/>
        <v>Contratos Patrimoniais e Postes</v>
      </c>
      <c r="K55" s="28" t="s">
        <v>235</v>
      </c>
      <c r="L55" s="28">
        <v>417996</v>
      </c>
      <c r="M55" s="29" t="s">
        <v>236</v>
      </c>
      <c r="N55" s="28" t="s">
        <v>22</v>
      </c>
      <c r="O55" s="28" t="s">
        <v>237</v>
      </c>
      <c r="P55" s="28"/>
      <c r="Q55" s="28"/>
      <c r="R55" s="28" t="s">
        <v>35</v>
      </c>
      <c r="S55" s="28" t="s">
        <v>25</v>
      </c>
    </row>
    <row r="56" spans="1:19" ht="15" hidden="1" customHeight="1" x14ac:dyDescent="0.2">
      <c r="A56" s="25" t="s">
        <v>6</v>
      </c>
      <c r="B56" s="26" t="s">
        <v>206</v>
      </c>
      <c r="C56" s="26" t="s">
        <v>238</v>
      </c>
      <c r="D56" s="27" t="str">
        <f t="shared" si="1"/>
        <v>Presidência</v>
      </c>
      <c r="E56" s="27" t="str">
        <f t="shared" si="2"/>
        <v>Suporte ao Negócio</v>
      </c>
      <c r="F56" s="27" t="str">
        <f t="shared" si="3"/>
        <v>Patrimônio</v>
      </c>
      <c r="G56" s="27" t="str">
        <f t="shared" si="4"/>
        <v>Gestao Contr. Sites, Dir. e Obrig Pos M&amp;A</v>
      </c>
      <c r="H56" s="27" t="str">
        <f t="shared" si="5"/>
        <v>Gestao Contr. Sites, Dir. e Obrig Pos M&amp;A</v>
      </c>
      <c r="I56" s="27" t="str">
        <f t="shared" si="6"/>
        <v>Gestao Contr. Sites, Dir. e Obrig Pos M&amp;A</v>
      </c>
      <c r="J56" s="27" t="str">
        <f t="shared" si="7"/>
        <v>Gestao Contr. Sites, Dir. e Obrig Pos M&amp;A</v>
      </c>
      <c r="K56" s="28" t="s">
        <v>239</v>
      </c>
      <c r="L56" s="28">
        <v>315793</v>
      </c>
      <c r="M56" s="29" t="s">
        <v>240</v>
      </c>
      <c r="N56" s="28" t="s">
        <v>22</v>
      </c>
      <c r="O56" s="28" t="s">
        <v>241</v>
      </c>
      <c r="P56" s="28"/>
      <c r="Q56" s="28"/>
      <c r="R56" s="28" t="s">
        <v>35</v>
      </c>
      <c r="S56" s="28" t="s">
        <v>25</v>
      </c>
    </row>
    <row r="57" spans="1:19" ht="15" hidden="1" customHeight="1" x14ac:dyDescent="0.2">
      <c r="A57" s="14" t="s">
        <v>5</v>
      </c>
      <c r="B57" s="15" t="s">
        <v>206</v>
      </c>
      <c r="C57" s="15" t="s">
        <v>242</v>
      </c>
      <c r="D57" s="16" t="str">
        <f t="shared" si="1"/>
        <v>Presidência</v>
      </c>
      <c r="E57" s="16" t="str">
        <f t="shared" si="2"/>
        <v>Suporte ao Negócio</v>
      </c>
      <c r="F57" s="16" t="str">
        <f t="shared" si="3"/>
        <v>Energia</v>
      </c>
      <c r="G57" s="16" t="str">
        <f t="shared" si="4"/>
        <v>Energia</v>
      </c>
      <c r="H57" s="16" t="str">
        <f t="shared" si="5"/>
        <v>Energia</v>
      </c>
      <c r="I57" s="16" t="str">
        <f t="shared" si="6"/>
        <v>Energia</v>
      </c>
      <c r="J57" s="16" t="str">
        <f t="shared" si="7"/>
        <v>Energia</v>
      </c>
      <c r="K57" s="17" t="s">
        <v>243</v>
      </c>
      <c r="L57" s="17">
        <v>414525</v>
      </c>
      <c r="M57" s="18" t="s">
        <v>244</v>
      </c>
      <c r="N57" s="17" t="s">
        <v>22</v>
      </c>
      <c r="O57" s="17" t="s">
        <v>245</v>
      </c>
      <c r="P57" s="17"/>
      <c r="Q57" s="17"/>
      <c r="R57" s="17" t="s">
        <v>30</v>
      </c>
      <c r="S57" s="17" t="s">
        <v>25</v>
      </c>
    </row>
    <row r="58" spans="1:19" ht="15" hidden="1" customHeight="1" x14ac:dyDescent="0.2">
      <c r="A58" s="25" t="s">
        <v>6</v>
      </c>
      <c r="B58" s="26" t="s">
        <v>206</v>
      </c>
      <c r="C58" s="26" t="s">
        <v>246</v>
      </c>
      <c r="D58" s="27" t="str">
        <f t="shared" si="1"/>
        <v>Presidência</v>
      </c>
      <c r="E58" s="27" t="str">
        <f t="shared" si="2"/>
        <v>Suporte ao Negócio</v>
      </c>
      <c r="F58" s="27" t="str">
        <f t="shared" si="3"/>
        <v>Energia</v>
      </c>
      <c r="G58" s="27" t="str">
        <f t="shared" si="4"/>
        <v>Planej, Contr. Financeiro e Eficiência Operacional</v>
      </c>
      <c r="H58" s="27" t="str">
        <f t="shared" si="5"/>
        <v>Planej, Contr. Financeiro e Eficiência Operacional</v>
      </c>
      <c r="I58" s="27" t="str">
        <f t="shared" si="6"/>
        <v>Planej, Contr. Financeiro e Eficiência Operacional</v>
      </c>
      <c r="J58" s="27" t="str">
        <f t="shared" si="7"/>
        <v>Planej, Contr. Financeiro e Eficiência Operacional</v>
      </c>
      <c r="K58" s="28" t="s">
        <v>247</v>
      </c>
      <c r="L58" s="28">
        <v>320883</v>
      </c>
      <c r="M58" s="29" t="s">
        <v>248</v>
      </c>
      <c r="N58" s="28" t="s">
        <v>22</v>
      </c>
      <c r="O58" s="28" t="s">
        <v>249</v>
      </c>
      <c r="P58" s="28"/>
      <c r="Q58" s="28"/>
      <c r="R58" s="28" t="s">
        <v>35</v>
      </c>
      <c r="S58" s="28" t="s">
        <v>25</v>
      </c>
    </row>
    <row r="59" spans="1:19" ht="15" hidden="1" customHeight="1" x14ac:dyDescent="0.2">
      <c r="A59" s="25" t="s">
        <v>6</v>
      </c>
      <c r="B59" s="26" t="s">
        <v>206</v>
      </c>
      <c r="C59" s="26" t="s">
        <v>250</v>
      </c>
      <c r="D59" s="27" t="str">
        <f t="shared" si="1"/>
        <v>Presidência</v>
      </c>
      <c r="E59" s="27" t="str">
        <f t="shared" si="2"/>
        <v>Suporte ao Negócio</v>
      </c>
      <c r="F59" s="27" t="str">
        <f t="shared" si="3"/>
        <v>Energia</v>
      </c>
      <c r="G59" s="27" t="str">
        <f t="shared" si="4"/>
        <v>Eficiência Energética e Geração Distribuída</v>
      </c>
      <c r="H59" s="27" t="str">
        <f t="shared" si="5"/>
        <v>Eficiência Energética e Geração Distribuída</v>
      </c>
      <c r="I59" s="27" t="str">
        <f t="shared" si="6"/>
        <v>Eficiência Energética e Geração Distribuída</v>
      </c>
      <c r="J59" s="27" t="str">
        <f t="shared" si="7"/>
        <v>Eficiência Energética e Geração Distribuída</v>
      </c>
      <c r="K59" s="28" t="s">
        <v>251</v>
      </c>
      <c r="L59" s="28">
        <v>415154</v>
      </c>
      <c r="M59" s="29" t="s">
        <v>252</v>
      </c>
      <c r="N59" s="28" t="s">
        <v>22</v>
      </c>
      <c r="O59" s="28" t="s">
        <v>253</v>
      </c>
      <c r="P59" s="28"/>
      <c r="Q59" s="28"/>
      <c r="R59" s="28" t="s">
        <v>35</v>
      </c>
      <c r="S59" s="28" t="s">
        <v>25</v>
      </c>
    </row>
    <row r="60" spans="1:19" ht="15" hidden="1" customHeight="1" x14ac:dyDescent="0.2">
      <c r="A60" s="14" t="s">
        <v>5</v>
      </c>
      <c r="B60" s="15" t="s">
        <v>206</v>
      </c>
      <c r="C60" s="15" t="s">
        <v>254</v>
      </c>
      <c r="D60" s="16" t="str">
        <f t="shared" si="1"/>
        <v>Presidência</v>
      </c>
      <c r="E60" s="16" t="str">
        <f t="shared" si="2"/>
        <v>Suporte ao Negócio</v>
      </c>
      <c r="F60" s="16" t="str">
        <f t="shared" si="3"/>
        <v>Estratégia e Gestão Imobiliária</v>
      </c>
      <c r="G60" s="16" t="str">
        <f t="shared" si="4"/>
        <v>Estratégia e Gestão Imobiliária</v>
      </c>
      <c r="H60" s="16" t="str">
        <f t="shared" si="5"/>
        <v>Estratégia e Gestão Imobiliária</v>
      </c>
      <c r="I60" s="16" t="str">
        <f t="shared" si="6"/>
        <v>Estratégia e Gestão Imobiliária</v>
      </c>
      <c r="J60" s="16" t="str">
        <f t="shared" si="7"/>
        <v>Estratégia e Gestão Imobiliária</v>
      </c>
      <c r="K60" s="17" t="s">
        <v>255</v>
      </c>
      <c r="L60" s="17">
        <v>418600</v>
      </c>
      <c r="M60" s="18" t="s">
        <v>256</v>
      </c>
      <c r="N60" s="17" t="s">
        <v>22</v>
      </c>
      <c r="O60" s="17" t="s">
        <v>257</v>
      </c>
      <c r="P60" s="17"/>
      <c r="Q60" s="17"/>
      <c r="R60" s="17" t="s">
        <v>35</v>
      </c>
      <c r="S60" s="17" t="s">
        <v>25</v>
      </c>
    </row>
    <row r="61" spans="1:19" ht="15" customHeight="1" x14ac:dyDescent="0.2">
      <c r="A61" s="9" t="s">
        <v>4</v>
      </c>
      <c r="B61" s="10" t="s">
        <v>258</v>
      </c>
      <c r="C61" s="10" t="s">
        <v>258</v>
      </c>
      <c r="D61" s="11" t="str">
        <f t="shared" si="1"/>
        <v>Presidência</v>
      </c>
      <c r="E61" s="11" t="str">
        <f t="shared" si="2"/>
        <v>Jurídica</v>
      </c>
      <c r="F61" s="11" t="str">
        <f t="shared" si="3"/>
        <v>Jurídica</v>
      </c>
      <c r="G61" s="11" t="str">
        <f t="shared" si="4"/>
        <v>Jurídica</v>
      </c>
      <c r="H61" s="11" t="str">
        <f t="shared" si="5"/>
        <v>Jurídica</v>
      </c>
      <c r="I61" s="11" t="str">
        <f t="shared" si="6"/>
        <v>Jurídica</v>
      </c>
      <c r="J61" s="11" t="str">
        <f t="shared" si="7"/>
        <v>Jurídica</v>
      </c>
      <c r="K61" s="12" t="s">
        <v>259</v>
      </c>
      <c r="L61" s="12">
        <v>308060</v>
      </c>
      <c r="M61" s="13" t="s">
        <v>260</v>
      </c>
      <c r="N61" s="12" t="s">
        <v>22</v>
      </c>
      <c r="O61" s="12" t="s">
        <v>261</v>
      </c>
      <c r="P61" s="12" t="s">
        <v>262</v>
      </c>
      <c r="Q61" s="12"/>
      <c r="R61" s="12" t="s">
        <v>30</v>
      </c>
      <c r="S61" s="12" t="s">
        <v>25</v>
      </c>
    </row>
    <row r="62" spans="1:19" ht="15" hidden="1" customHeight="1" x14ac:dyDescent="0.2">
      <c r="A62" s="14" t="s">
        <v>5</v>
      </c>
      <c r="B62" s="15" t="s">
        <v>258</v>
      </c>
      <c r="C62" s="15" t="s">
        <v>263</v>
      </c>
      <c r="D62" s="16" t="str">
        <f t="shared" si="1"/>
        <v>Presidência</v>
      </c>
      <c r="E62" s="16" t="str">
        <f t="shared" si="2"/>
        <v>Jurídica</v>
      </c>
      <c r="F62" s="16" t="str">
        <f t="shared" si="3"/>
        <v>Jurídico de Relações de Consumo e Criminal</v>
      </c>
      <c r="G62" s="16" t="str">
        <f t="shared" si="4"/>
        <v>Jurídico de Relações de Consumo e Criminal</v>
      </c>
      <c r="H62" s="16" t="str">
        <f t="shared" si="5"/>
        <v>Jurídico de Relações de Consumo e Criminal</v>
      </c>
      <c r="I62" s="16" t="str">
        <f t="shared" si="6"/>
        <v>Jurídico de Relações de Consumo e Criminal</v>
      </c>
      <c r="J62" s="16" t="str">
        <f t="shared" si="7"/>
        <v>Jurídico de Relações de Consumo e Criminal</v>
      </c>
      <c r="K62" s="17" t="s">
        <v>264</v>
      </c>
      <c r="L62" s="17">
        <v>241231</v>
      </c>
      <c r="M62" s="18" t="s">
        <v>265</v>
      </c>
      <c r="N62" s="17" t="s">
        <v>22</v>
      </c>
      <c r="O62" s="17" t="s">
        <v>266</v>
      </c>
      <c r="P62" s="17"/>
      <c r="Q62" s="17"/>
      <c r="R62" s="17" t="s">
        <v>30</v>
      </c>
      <c r="S62" s="17" t="s">
        <v>25</v>
      </c>
    </row>
    <row r="63" spans="1:19" ht="15" hidden="1" customHeight="1" x14ac:dyDescent="0.2">
      <c r="A63" s="25" t="s">
        <v>6</v>
      </c>
      <c r="B63" s="26" t="s">
        <v>258</v>
      </c>
      <c r="C63" s="26" t="s">
        <v>267</v>
      </c>
      <c r="D63" s="27" t="str">
        <f t="shared" si="1"/>
        <v>Presidência</v>
      </c>
      <c r="E63" s="27" t="str">
        <f t="shared" si="2"/>
        <v>Jurídica</v>
      </c>
      <c r="F63" s="27" t="str">
        <f t="shared" si="3"/>
        <v>Jurídico de Relações de Consumo e Criminal</v>
      </c>
      <c r="G63" s="27" t="str">
        <f t="shared" si="4"/>
        <v>Contenc. Consumidor Massa e PEX</v>
      </c>
      <c r="H63" s="27" t="str">
        <f t="shared" si="5"/>
        <v>Contenc. Consumidor Massa e PEX</v>
      </c>
      <c r="I63" s="27" t="str">
        <f t="shared" si="6"/>
        <v>Contenc. Consumidor Massa e PEX</v>
      </c>
      <c r="J63" s="27" t="str">
        <f t="shared" si="7"/>
        <v>Contenc. Consumidor Massa e PEX</v>
      </c>
      <c r="K63" s="28" t="s">
        <v>268</v>
      </c>
      <c r="L63" s="28">
        <v>212962</v>
      </c>
      <c r="M63" s="29" t="s">
        <v>269</v>
      </c>
      <c r="N63" s="28" t="s">
        <v>22</v>
      </c>
      <c r="O63" s="28" t="s">
        <v>270</v>
      </c>
      <c r="P63" s="28"/>
      <c r="Q63" s="28"/>
      <c r="R63" s="28" t="s">
        <v>35</v>
      </c>
      <c r="S63" s="28" t="s">
        <v>25</v>
      </c>
    </row>
    <row r="64" spans="1:19" ht="15" hidden="1" customHeight="1" x14ac:dyDescent="0.2">
      <c r="A64" s="25" t="s">
        <v>6</v>
      </c>
      <c r="B64" s="26" t="s">
        <v>258</v>
      </c>
      <c r="C64" s="26" t="s">
        <v>271</v>
      </c>
      <c r="D64" s="27" t="str">
        <f t="shared" si="1"/>
        <v>Presidência</v>
      </c>
      <c r="E64" s="27" t="str">
        <f t="shared" si="2"/>
        <v>Jurídica</v>
      </c>
      <c r="F64" s="27" t="str">
        <f t="shared" si="3"/>
        <v>Jurídico de Relações de Consumo e Criminal</v>
      </c>
      <c r="G64" s="27" t="str">
        <f t="shared" si="4"/>
        <v>ODCs e Acordos</v>
      </c>
      <c r="H64" s="27" t="str">
        <f t="shared" si="5"/>
        <v>ODCs e Acordos</v>
      </c>
      <c r="I64" s="27" t="str">
        <f t="shared" si="6"/>
        <v>ODCs e Acordos</v>
      </c>
      <c r="J64" s="27" t="str">
        <f t="shared" si="7"/>
        <v>ODCs e Acordos</v>
      </c>
      <c r="K64" s="28" t="s">
        <v>272</v>
      </c>
      <c r="L64" s="28">
        <v>270292</v>
      </c>
      <c r="M64" s="29" t="s">
        <v>273</v>
      </c>
      <c r="N64" s="28" t="s">
        <v>22</v>
      </c>
      <c r="O64" s="28" t="s">
        <v>274</v>
      </c>
      <c r="P64" s="28"/>
      <c r="Q64" s="28"/>
      <c r="R64" s="28" t="s">
        <v>35</v>
      </c>
      <c r="S64" s="28" t="s">
        <v>25</v>
      </c>
    </row>
    <row r="65" spans="1:19" ht="15" hidden="1" customHeight="1" x14ac:dyDescent="0.2">
      <c r="A65" s="25" t="s">
        <v>6</v>
      </c>
      <c r="B65" s="26" t="s">
        <v>258</v>
      </c>
      <c r="C65" s="26" t="s">
        <v>275</v>
      </c>
      <c r="D65" s="27" t="str">
        <f t="shared" si="1"/>
        <v>Presidência</v>
      </c>
      <c r="E65" s="27" t="str">
        <f t="shared" si="2"/>
        <v>Jurídica</v>
      </c>
      <c r="F65" s="27" t="str">
        <f t="shared" si="3"/>
        <v>Jurídico de Relações de Consumo e Criminal</v>
      </c>
      <c r="G65" s="27" t="str">
        <f t="shared" si="4"/>
        <v>Jurídico Criminal e Gestão</v>
      </c>
      <c r="H65" s="27" t="str">
        <f t="shared" si="5"/>
        <v>Jurídico Criminal e Gestão</v>
      </c>
      <c r="I65" s="27" t="str">
        <f t="shared" si="6"/>
        <v>Jurídico Criminal e Gestão</v>
      </c>
      <c r="J65" s="27" t="str">
        <f t="shared" si="7"/>
        <v>Jurídico Criminal e Gestão</v>
      </c>
      <c r="K65" s="28" t="s">
        <v>276</v>
      </c>
      <c r="L65" s="28">
        <v>305612</v>
      </c>
      <c r="M65" s="29" t="s">
        <v>277</v>
      </c>
      <c r="N65" s="28" t="s">
        <v>22</v>
      </c>
      <c r="O65" s="28" t="s">
        <v>278</v>
      </c>
      <c r="P65" s="28"/>
      <c r="Q65" s="28"/>
      <c r="R65" s="28" t="s">
        <v>35</v>
      </c>
      <c r="S65" s="28" t="s">
        <v>25</v>
      </c>
    </row>
    <row r="66" spans="1:19" ht="15" hidden="1" customHeight="1" x14ac:dyDescent="0.2">
      <c r="A66" s="14" t="s">
        <v>5</v>
      </c>
      <c r="B66" s="15" t="s">
        <v>258</v>
      </c>
      <c r="C66" s="15" t="s">
        <v>279</v>
      </c>
      <c r="D66" s="16" t="str">
        <f t="shared" si="1"/>
        <v>Presidência</v>
      </c>
      <c r="E66" s="16" t="str">
        <f t="shared" si="2"/>
        <v>Jurídica</v>
      </c>
      <c r="F66" s="16" t="str">
        <f t="shared" si="3"/>
        <v>Jurídico Civel Estratégico e Tributário</v>
      </c>
      <c r="G66" s="16" t="str">
        <f t="shared" si="4"/>
        <v>Jurídico Civel Estratégico e Tributário</v>
      </c>
      <c r="H66" s="16" t="str">
        <f t="shared" si="5"/>
        <v>Jurídico Civel Estratégico e Tributário</v>
      </c>
      <c r="I66" s="16" t="str">
        <f t="shared" si="6"/>
        <v>Jurídico Civel Estratégico e Tributário</v>
      </c>
      <c r="J66" s="16" t="str">
        <f t="shared" si="7"/>
        <v>Jurídico Civel Estratégico e Tributário</v>
      </c>
      <c r="K66" s="17" t="s">
        <v>280</v>
      </c>
      <c r="L66" s="17">
        <v>330950</v>
      </c>
      <c r="M66" s="18" t="s">
        <v>281</v>
      </c>
      <c r="N66" s="17" t="s">
        <v>22</v>
      </c>
      <c r="O66" s="17" t="s">
        <v>282</v>
      </c>
      <c r="P66" s="17"/>
      <c r="Q66" s="17"/>
      <c r="R66" s="17" t="s">
        <v>30</v>
      </c>
      <c r="S66" s="17" t="s">
        <v>25</v>
      </c>
    </row>
    <row r="67" spans="1:19" ht="15" hidden="1" customHeight="1" x14ac:dyDescent="0.2">
      <c r="A67" s="25" t="s">
        <v>6</v>
      </c>
      <c r="B67" s="26" t="s">
        <v>258</v>
      </c>
      <c r="C67" s="26" t="s">
        <v>283</v>
      </c>
      <c r="D67" s="27" t="str">
        <f t="shared" ref="D67:D130" si="8">IF($A67=D$1,$C67,IF(TEXT(RIGHT($A67,1),0)&lt;TEXT(RIGHT(D$1,1),0),C67,D66))</f>
        <v>Presidência</v>
      </c>
      <c r="E67" s="27" t="str">
        <f t="shared" ref="E67:E130" si="9">IF($A67=E$1,$C67,IF(TEXT(RIGHT($A67,1),0)&lt;TEXT(RIGHT(E$1,1),0),D67,E66))</f>
        <v>Jurídica</v>
      </c>
      <c r="F67" s="27" t="str">
        <f t="shared" ref="F67:F130" si="10">IF($A67=F$1,$C67,IF(TEXT(RIGHT($A67,1),0)&lt;TEXT(RIGHT(F$1,1),0),E67,F66))</f>
        <v>Jurídico Civel Estratégico e Tributário</v>
      </c>
      <c r="G67" s="27" t="str">
        <f t="shared" ref="G67:G130" si="11">IF($A67=G$1,$C67,IF(TEXT(RIGHT($A67,1),0)&lt;TEXT(RIGHT(G$1,1),0),F67,G66))</f>
        <v>Jurídico Tributário</v>
      </c>
      <c r="H67" s="27" t="str">
        <f t="shared" ref="H67:H130" si="12">IF($A67=H$1,$C67,IF(TEXT(RIGHT($A67,1),0)&lt;TEXT(RIGHT(H$1,1),0),G67,H66))</f>
        <v>Jurídico Tributário</v>
      </c>
      <c r="I67" s="27" t="str">
        <f t="shared" ref="I67:I130" si="13">IF($A67=I$1,$C67,IF(TEXT(RIGHT($A67,1),0)&lt;TEXT(RIGHT(I$1,1),0),H67,I66))</f>
        <v>Jurídico Tributário</v>
      </c>
      <c r="J67" s="27" t="str">
        <f t="shared" ref="J67:J130" si="14">IF($A67=J$1,$C67,IF(TEXT(RIGHT($A67,1),0)&lt;TEXT(RIGHT(J$1,1),0),I67,J66))</f>
        <v>Jurídico Tributário</v>
      </c>
      <c r="K67" s="28" t="s">
        <v>284</v>
      </c>
      <c r="L67" s="28">
        <v>370787</v>
      </c>
      <c r="M67" s="29" t="s">
        <v>285</v>
      </c>
      <c r="N67" s="28" t="s">
        <v>22</v>
      </c>
      <c r="O67" s="28" t="s">
        <v>286</v>
      </c>
      <c r="P67" s="28"/>
      <c r="Q67" s="28"/>
      <c r="R67" s="28" t="s">
        <v>35</v>
      </c>
      <c r="S67" s="28" t="s">
        <v>25</v>
      </c>
    </row>
    <row r="68" spans="1:19" ht="15" hidden="1" customHeight="1" x14ac:dyDescent="0.2">
      <c r="A68" s="25" t="s">
        <v>6</v>
      </c>
      <c r="B68" s="26" t="s">
        <v>258</v>
      </c>
      <c r="C68" s="26" t="s">
        <v>287</v>
      </c>
      <c r="D68" s="27" t="str">
        <f t="shared" si="8"/>
        <v>Presidência</v>
      </c>
      <c r="E68" s="27" t="str">
        <f t="shared" si="9"/>
        <v>Jurídica</v>
      </c>
      <c r="F68" s="27" t="str">
        <f t="shared" si="10"/>
        <v>Jurídico Civel Estratégico e Tributário</v>
      </c>
      <c r="G68" s="27" t="str">
        <f t="shared" si="11"/>
        <v>Contencioso Telecom e Cível Estratégico</v>
      </c>
      <c r="H68" s="27" t="str">
        <f t="shared" si="12"/>
        <v>Contencioso Telecom e Cível Estratégico</v>
      </c>
      <c r="I68" s="27" t="str">
        <f t="shared" si="13"/>
        <v>Contencioso Telecom e Cível Estratégico</v>
      </c>
      <c r="J68" s="27" t="str">
        <f t="shared" si="14"/>
        <v>Contencioso Telecom e Cível Estratégico</v>
      </c>
      <c r="K68" s="28" t="s">
        <v>288</v>
      </c>
      <c r="L68" s="28">
        <v>317558</v>
      </c>
      <c r="M68" s="29" t="s">
        <v>289</v>
      </c>
      <c r="N68" s="28" t="s">
        <v>22</v>
      </c>
      <c r="O68" s="28" t="s">
        <v>290</v>
      </c>
      <c r="P68" s="28"/>
      <c r="Q68" s="28"/>
      <c r="R68" s="28" t="s">
        <v>35</v>
      </c>
      <c r="S68" s="28" t="s">
        <v>25</v>
      </c>
    </row>
    <row r="69" spans="1:19" ht="15" hidden="1" customHeight="1" x14ac:dyDescent="0.2">
      <c r="A69" s="14" t="s">
        <v>5</v>
      </c>
      <c r="B69" s="15" t="s">
        <v>258</v>
      </c>
      <c r="C69" s="15" t="s">
        <v>291</v>
      </c>
      <c r="D69" s="16" t="str">
        <f t="shared" si="8"/>
        <v>Presidência</v>
      </c>
      <c r="E69" s="16" t="str">
        <f t="shared" si="9"/>
        <v>Jurídica</v>
      </c>
      <c r="F69" s="16" t="str">
        <f t="shared" si="10"/>
        <v>Serviços Jurídicos e Trabalhista</v>
      </c>
      <c r="G69" s="16" t="str">
        <f t="shared" si="11"/>
        <v>Serviços Jurídicos e Trabalhista</v>
      </c>
      <c r="H69" s="16" t="str">
        <f t="shared" si="12"/>
        <v>Serviços Jurídicos e Trabalhista</v>
      </c>
      <c r="I69" s="16" t="str">
        <f t="shared" si="13"/>
        <v>Serviços Jurídicos e Trabalhista</v>
      </c>
      <c r="J69" s="16" t="str">
        <f t="shared" si="14"/>
        <v>Serviços Jurídicos e Trabalhista</v>
      </c>
      <c r="K69" s="17" t="s">
        <v>292</v>
      </c>
      <c r="L69" s="17">
        <v>170959</v>
      </c>
      <c r="M69" s="18" t="s">
        <v>293</v>
      </c>
      <c r="N69" s="17" t="s">
        <v>22</v>
      </c>
      <c r="O69" s="17" t="s">
        <v>294</v>
      </c>
      <c r="P69" s="17"/>
      <c r="Q69" s="17"/>
      <c r="R69" s="17" t="s">
        <v>30</v>
      </c>
      <c r="S69" s="17" t="s">
        <v>25</v>
      </c>
    </row>
    <row r="70" spans="1:19" ht="15" hidden="1" customHeight="1" x14ac:dyDescent="0.2">
      <c r="A70" s="25" t="s">
        <v>6</v>
      </c>
      <c r="B70" s="26" t="s">
        <v>258</v>
      </c>
      <c r="C70" s="26" t="s">
        <v>295</v>
      </c>
      <c r="D70" s="27" t="str">
        <f t="shared" si="8"/>
        <v>Presidência</v>
      </c>
      <c r="E70" s="27" t="str">
        <f t="shared" si="9"/>
        <v>Jurídica</v>
      </c>
      <c r="F70" s="27" t="str">
        <f t="shared" si="10"/>
        <v>Serviços Jurídicos e Trabalhista</v>
      </c>
      <c r="G70" s="27" t="str">
        <f t="shared" si="11"/>
        <v>Trabalhista Estratégico Consultivo</v>
      </c>
      <c r="H70" s="27" t="str">
        <f t="shared" si="12"/>
        <v>Trabalhista Estratégico Consultivo</v>
      </c>
      <c r="I70" s="27" t="str">
        <f t="shared" si="13"/>
        <v>Trabalhista Estratégico Consultivo</v>
      </c>
      <c r="J70" s="27" t="str">
        <f t="shared" si="14"/>
        <v>Trabalhista Estratégico Consultivo</v>
      </c>
      <c r="K70" s="28" t="s">
        <v>296</v>
      </c>
      <c r="L70" s="28">
        <v>66692</v>
      </c>
      <c r="M70" s="29" t="s">
        <v>297</v>
      </c>
      <c r="N70" s="28" t="s">
        <v>22</v>
      </c>
      <c r="O70" s="28" t="s">
        <v>298</v>
      </c>
      <c r="P70" s="28"/>
      <c r="Q70" s="28"/>
      <c r="R70" s="28" t="s">
        <v>35</v>
      </c>
      <c r="S70" s="28" t="s">
        <v>25</v>
      </c>
    </row>
    <row r="71" spans="1:19" ht="15" hidden="1" customHeight="1" x14ac:dyDescent="0.2">
      <c r="A71" s="25" t="s">
        <v>6</v>
      </c>
      <c r="B71" s="26" t="s">
        <v>258</v>
      </c>
      <c r="C71" s="26" t="s">
        <v>299</v>
      </c>
      <c r="D71" s="27" t="str">
        <f t="shared" si="8"/>
        <v>Presidência</v>
      </c>
      <c r="E71" s="27" t="str">
        <f t="shared" si="9"/>
        <v>Jurídica</v>
      </c>
      <c r="F71" s="27" t="str">
        <f t="shared" si="10"/>
        <v>Serviços Jurídicos e Trabalhista</v>
      </c>
      <c r="G71" s="27" t="str">
        <f t="shared" si="11"/>
        <v>Trabalhista de Massa e Serede</v>
      </c>
      <c r="H71" s="27" t="str">
        <f t="shared" si="12"/>
        <v>Trabalhista de Massa e Serede</v>
      </c>
      <c r="I71" s="27" t="str">
        <f t="shared" si="13"/>
        <v>Trabalhista de Massa e Serede</v>
      </c>
      <c r="J71" s="27" t="str">
        <f t="shared" si="14"/>
        <v>Trabalhista de Massa e Serede</v>
      </c>
      <c r="K71" s="28" t="s">
        <v>300</v>
      </c>
      <c r="L71" s="28">
        <v>69535</v>
      </c>
      <c r="M71" s="29" t="s">
        <v>301</v>
      </c>
      <c r="N71" s="28" t="s">
        <v>22</v>
      </c>
      <c r="O71" s="28" t="s">
        <v>302</v>
      </c>
      <c r="P71" s="28"/>
      <c r="Q71" s="28"/>
      <c r="R71" s="28" t="s">
        <v>35</v>
      </c>
      <c r="S71" s="28" t="s">
        <v>25</v>
      </c>
    </row>
    <row r="72" spans="1:19" ht="15" hidden="1" customHeight="1" x14ac:dyDescent="0.2">
      <c r="A72" s="25" t="s">
        <v>6</v>
      </c>
      <c r="B72" s="26" t="s">
        <v>258</v>
      </c>
      <c r="C72" s="26" t="s">
        <v>303</v>
      </c>
      <c r="D72" s="27" t="str">
        <f t="shared" si="8"/>
        <v>Presidência</v>
      </c>
      <c r="E72" s="27" t="str">
        <f t="shared" si="9"/>
        <v>Jurídica</v>
      </c>
      <c r="F72" s="27" t="str">
        <f t="shared" si="10"/>
        <v>Serviços Jurídicos e Trabalhista</v>
      </c>
      <c r="G72" s="27" t="str">
        <f t="shared" si="11"/>
        <v>Serviços Jurídicos Regionais</v>
      </c>
      <c r="H72" s="27" t="str">
        <f t="shared" si="12"/>
        <v>Serviços Jurídicos Regionais</v>
      </c>
      <c r="I72" s="27" t="str">
        <f t="shared" si="13"/>
        <v>Serviços Jurídicos Regionais</v>
      </c>
      <c r="J72" s="27" t="str">
        <f t="shared" si="14"/>
        <v>Serviços Jurídicos Regionais</v>
      </c>
      <c r="K72" s="28" t="s">
        <v>304</v>
      </c>
      <c r="L72" s="28">
        <v>314454</v>
      </c>
      <c r="M72" s="29" t="s">
        <v>305</v>
      </c>
      <c r="N72" s="28" t="s">
        <v>22</v>
      </c>
      <c r="O72" s="28" t="s">
        <v>306</v>
      </c>
      <c r="P72" s="28"/>
      <c r="Q72" s="28"/>
      <c r="R72" s="28" t="s">
        <v>35</v>
      </c>
      <c r="S72" s="28" t="s">
        <v>25</v>
      </c>
    </row>
    <row r="73" spans="1:19" ht="15" hidden="1" customHeight="1" x14ac:dyDescent="0.2">
      <c r="A73" s="14" t="s">
        <v>5</v>
      </c>
      <c r="B73" s="15" t="s">
        <v>258</v>
      </c>
      <c r="C73" s="15" t="s">
        <v>307</v>
      </c>
      <c r="D73" s="16" t="str">
        <f t="shared" si="8"/>
        <v>Presidência</v>
      </c>
      <c r="E73" s="16" t="str">
        <f t="shared" si="9"/>
        <v>Jurídica</v>
      </c>
      <c r="F73" s="16" t="str">
        <f t="shared" si="10"/>
        <v>Societário, Mercado de títulos e Contratos</v>
      </c>
      <c r="G73" s="16" t="str">
        <f t="shared" si="11"/>
        <v>Societário, Mercado de títulos e Contratos</v>
      </c>
      <c r="H73" s="16" t="str">
        <f t="shared" si="12"/>
        <v>Societário, Mercado de títulos e Contratos</v>
      </c>
      <c r="I73" s="16" t="str">
        <f t="shared" si="13"/>
        <v>Societário, Mercado de títulos e Contratos</v>
      </c>
      <c r="J73" s="16" t="str">
        <f t="shared" si="14"/>
        <v>Societário, Mercado de títulos e Contratos</v>
      </c>
      <c r="K73" s="17" t="s">
        <v>308</v>
      </c>
      <c r="L73" s="17">
        <v>274210</v>
      </c>
      <c r="M73" s="18" t="s">
        <v>309</v>
      </c>
      <c r="N73" s="17" t="s">
        <v>22</v>
      </c>
      <c r="O73" s="17" t="s">
        <v>310</v>
      </c>
      <c r="P73" s="17"/>
      <c r="Q73" s="17"/>
      <c r="R73" s="17" t="s">
        <v>30</v>
      </c>
      <c r="S73" s="17" t="s">
        <v>25</v>
      </c>
    </row>
    <row r="74" spans="1:19" ht="15" hidden="1" customHeight="1" x14ac:dyDescent="0.2">
      <c r="A74" s="25" t="s">
        <v>6</v>
      </c>
      <c r="B74" s="26" t="s">
        <v>258</v>
      </c>
      <c r="C74" s="26" t="s">
        <v>311</v>
      </c>
      <c r="D74" s="27" t="str">
        <f t="shared" si="8"/>
        <v>Presidência</v>
      </c>
      <c r="E74" s="27" t="str">
        <f t="shared" si="9"/>
        <v>Jurídica</v>
      </c>
      <c r="F74" s="27" t="str">
        <f t="shared" si="10"/>
        <v>Societário, Mercado de títulos e Contratos</v>
      </c>
      <c r="G74" s="27" t="str">
        <f t="shared" si="11"/>
        <v>Societário M&amp;A e Contratos Financeiros</v>
      </c>
      <c r="H74" s="27" t="str">
        <f t="shared" si="12"/>
        <v>Societário M&amp;A e Contratos Financeiros</v>
      </c>
      <c r="I74" s="27" t="str">
        <f t="shared" si="13"/>
        <v>Societário M&amp;A e Contratos Financeiros</v>
      </c>
      <c r="J74" s="27" t="str">
        <f t="shared" si="14"/>
        <v>Societário M&amp;A e Contratos Financeiros</v>
      </c>
      <c r="K74" s="28" t="s">
        <v>312</v>
      </c>
      <c r="L74" s="28">
        <v>191743</v>
      </c>
      <c r="M74" s="29" t="s">
        <v>313</v>
      </c>
      <c r="N74" s="28" t="s">
        <v>22</v>
      </c>
      <c r="O74" s="28" t="s">
        <v>314</v>
      </c>
      <c r="P74" s="28"/>
      <c r="Q74" s="28"/>
      <c r="R74" s="28" t="s">
        <v>35</v>
      </c>
      <c r="S74" s="28" t="s">
        <v>25</v>
      </c>
    </row>
    <row r="75" spans="1:19" ht="15" hidden="1" customHeight="1" x14ac:dyDescent="0.2">
      <c r="A75" s="25" t="s">
        <v>6</v>
      </c>
      <c r="B75" s="26" t="s">
        <v>258</v>
      </c>
      <c r="C75" s="26" t="s">
        <v>315</v>
      </c>
      <c r="D75" s="27" t="str">
        <f t="shared" si="8"/>
        <v>Presidência</v>
      </c>
      <c r="E75" s="27" t="str">
        <f t="shared" si="9"/>
        <v>Jurídica</v>
      </c>
      <c r="F75" s="27" t="str">
        <f t="shared" si="10"/>
        <v>Societário, Mercado de títulos e Contratos</v>
      </c>
      <c r="G75" s="27" t="str">
        <f t="shared" si="11"/>
        <v>Licitações e Contratos</v>
      </c>
      <c r="H75" s="27" t="str">
        <f t="shared" si="12"/>
        <v>Licitações e Contratos</v>
      </c>
      <c r="I75" s="27" t="str">
        <f t="shared" si="13"/>
        <v>Licitações e Contratos</v>
      </c>
      <c r="J75" s="27" t="str">
        <f t="shared" si="14"/>
        <v>Licitações e Contratos</v>
      </c>
      <c r="K75" s="28" t="s">
        <v>316</v>
      </c>
      <c r="L75" s="28">
        <v>107649</v>
      </c>
      <c r="M75" s="29" t="s">
        <v>317</v>
      </c>
      <c r="N75" s="28" t="s">
        <v>22</v>
      </c>
      <c r="O75" s="28" t="s">
        <v>318</v>
      </c>
      <c r="P75" s="28"/>
      <c r="Q75" s="28"/>
      <c r="R75" s="28" t="s">
        <v>35</v>
      </c>
      <c r="S75" s="28" t="s">
        <v>25</v>
      </c>
    </row>
    <row r="76" spans="1:19" ht="15" customHeight="1" x14ac:dyDescent="0.2">
      <c r="A76" s="9" t="s">
        <v>4</v>
      </c>
      <c r="B76" s="10" t="s">
        <v>319</v>
      </c>
      <c r="C76" s="10" t="s">
        <v>319</v>
      </c>
      <c r="D76" s="11" t="str">
        <f t="shared" si="8"/>
        <v>Presidência</v>
      </c>
      <c r="E76" s="11" t="str">
        <f t="shared" si="9"/>
        <v>Pessoas &amp; Cultura</v>
      </c>
      <c r="F76" s="11" t="str">
        <f t="shared" si="10"/>
        <v>Pessoas &amp; Cultura</v>
      </c>
      <c r="G76" s="11" t="str">
        <f t="shared" si="11"/>
        <v>Pessoas &amp; Cultura</v>
      </c>
      <c r="H76" s="11" t="str">
        <f t="shared" si="12"/>
        <v>Pessoas &amp; Cultura</v>
      </c>
      <c r="I76" s="11" t="str">
        <f t="shared" si="13"/>
        <v>Pessoas &amp; Cultura</v>
      </c>
      <c r="J76" s="11" t="str">
        <f t="shared" si="14"/>
        <v>Pessoas &amp; Cultura</v>
      </c>
      <c r="K76" s="12" t="s">
        <v>320</v>
      </c>
      <c r="L76" s="12">
        <v>27474</v>
      </c>
      <c r="M76" s="13" t="s">
        <v>321</v>
      </c>
      <c r="N76" s="12" t="s">
        <v>22</v>
      </c>
      <c r="O76" s="12" t="s">
        <v>322</v>
      </c>
      <c r="P76" s="12"/>
      <c r="Q76" s="12"/>
      <c r="R76" s="12" t="s">
        <v>30</v>
      </c>
      <c r="S76" s="12" t="s">
        <v>25</v>
      </c>
    </row>
    <row r="77" spans="1:19" ht="15" hidden="1" customHeight="1" x14ac:dyDescent="0.2">
      <c r="A77" s="14" t="s">
        <v>5</v>
      </c>
      <c r="B77" s="15" t="s">
        <v>319</v>
      </c>
      <c r="C77" s="15" t="s">
        <v>323</v>
      </c>
      <c r="D77" s="16" t="str">
        <f t="shared" si="8"/>
        <v>Presidência</v>
      </c>
      <c r="E77" s="16" t="str">
        <f t="shared" si="9"/>
        <v>Pessoas &amp; Cultura</v>
      </c>
      <c r="F77" s="16" t="str">
        <f t="shared" si="10"/>
        <v>Comunicação e Cultura Organizacional</v>
      </c>
      <c r="G77" s="16" t="str">
        <f t="shared" si="11"/>
        <v>Comunicação e Cultura Organizacional</v>
      </c>
      <c r="H77" s="16" t="str">
        <f t="shared" si="12"/>
        <v>Comunicação e Cultura Organizacional</v>
      </c>
      <c r="I77" s="16" t="str">
        <f t="shared" si="13"/>
        <v>Comunicação e Cultura Organizacional</v>
      </c>
      <c r="J77" s="16" t="str">
        <f t="shared" si="14"/>
        <v>Comunicação e Cultura Organizacional</v>
      </c>
      <c r="K77" s="17" t="s">
        <v>324</v>
      </c>
      <c r="L77" s="17">
        <v>104504</v>
      </c>
      <c r="M77" s="18" t="s">
        <v>325</v>
      </c>
      <c r="N77" s="17" t="s">
        <v>22</v>
      </c>
      <c r="O77" s="17" t="s">
        <v>326</v>
      </c>
      <c r="P77" s="17"/>
      <c r="Q77" s="17"/>
      <c r="R77" s="17" t="s">
        <v>30</v>
      </c>
      <c r="S77" s="17" t="s">
        <v>25</v>
      </c>
    </row>
    <row r="78" spans="1:19" ht="15" hidden="1" customHeight="1" x14ac:dyDescent="0.2">
      <c r="A78" s="19" t="s">
        <v>6</v>
      </c>
      <c r="B78" s="20" t="s">
        <v>319</v>
      </c>
      <c r="C78" s="20" t="s">
        <v>327</v>
      </c>
      <c r="D78" s="21" t="str">
        <f t="shared" si="8"/>
        <v>Presidência</v>
      </c>
      <c r="E78" s="21" t="str">
        <f t="shared" si="9"/>
        <v>Pessoas &amp; Cultura</v>
      </c>
      <c r="F78" s="21" t="str">
        <f t="shared" si="10"/>
        <v>Comunicação e Cultura Organizacional</v>
      </c>
      <c r="G78" s="21" t="str">
        <f t="shared" si="11"/>
        <v>Comunicação Interna</v>
      </c>
      <c r="H78" s="21" t="str">
        <f t="shared" si="12"/>
        <v>Comunicação Interna</v>
      </c>
      <c r="I78" s="21" t="str">
        <f t="shared" si="13"/>
        <v>Comunicação Interna</v>
      </c>
      <c r="J78" s="21" t="str">
        <f t="shared" si="14"/>
        <v>Comunicação Interna</v>
      </c>
      <c r="K78" s="22" t="s">
        <v>328</v>
      </c>
      <c r="L78" s="22">
        <v>64565</v>
      </c>
      <c r="M78" s="23" t="s">
        <v>329</v>
      </c>
      <c r="N78" s="22" t="s">
        <v>22</v>
      </c>
      <c r="O78" s="22" t="s">
        <v>330</v>
      </c>
      <c r="P78" s="22"/>
      <c r="Q78" s="22"/>
      <c r="R78" s="22" t="s">
        <v>35</v>
      </c>
      <c r="S78" s="22" t="s">
        <v>25</v>
      </c>
    </row>
    <row r="79" spans="1:19" ht="15" hidden="1" customHeight="1" x14ac:dyDescent="0.2">
      <c r="A79" s="19" t="s">
        <v>6</v>
      </c>
      <c r="B79" s="20" t="s">
        <v>319</v>
      </c>
      <c r="C79" s="20" t="s">
        <v>331</v>
      </c>
      <c r="D79" s="21" t="str">
        <f t="shared" si="8"/>
        <v>Presidência</v>
      </c>
      <c r="E79" s="21" t="str">
        <f t="shared" si="9"/>
        <v>Pessoas &amp; Cultura</v>
      </c>
      <c r="F79" s="21" t="str">
        <f t="shared" si="10"/>
        <v>Comunicação e Cultura Organizacional</v>
      </c>
      <c r="G79" s="21" t="str">
        <f t="shared" si="11"/>
        <v>Cultura e Liderança</v>
      </c>
      <c r="H79" s="21" t="str">
        <f t="shared" si="12"/>
        <v>Cultura e Liderança</v>
      </c>
      <c r="I79" s="21" t="str">
        <f t="shared" si="13"/>
        <v>Cultura e Liderança</v>
      </c>
      <c r="J79" s="21" t="str">
        <f t="shared" si="14"/>
        <v>Cultura e Liderança</v>
      </c>
      <c r="K79" s="22" t="s">
        <v>332</v>
      </c>
      <c r="L79" s="22"/>
      <c r="M79" s="77" t="s">
        <v>66</v>
      </c>
      <c r="N79" s="22" t="s">
        <v>22</v>
      </c>
      <c r="O79" s="22" t="s">
        <v>333</v>
      </c>
      <c r="P79" s="22"/>
      <c r="Q79" s="22"/>
      <c r="R79" s="22" t="s">
        <v>35</v>
      </c>
      <c r="S79" s="22" t="s">
        <v>25</v>
      </c>
    </row>
    <row r="80" spans="1:19" ht="15" hidden="1" customHeight="1" x14ac:dyDescent="0.2">
      <c r="A80" s="14" t="s">
        <v>5</v>
      </c>
      <c r="B80" s="15" t="s">
        <v>319</v>
      </c>
      <c r="C80" s="15" t="s">
        <v>334</v>
      </c>
      <c r="D80" s="16" t="str">
        <f t="shared" si="8"/>
        <v>Presidência</v>
      </c>
      <c r="E80" s="16" t="str">
        <f t="shared" si="9"/>
        <v>Pessoas &amp; Cultura</v>
      </c>
      <c r="F80" s="16" t="str">
        <f t="shared" si="10"/>
        <v>Remuneração, Planejamento e Gestão</v>
      </c>
      <c r="G80" s="16" t="str">
        <f t="shared" si="11"/>
        <v>Remuneração, Planejamento e Gestão</v>
      </c>
      <c r="H80" s="16" t="str">
        <f t="shared" si="12"/>
        <v>Remuneração, Planejamento e Gestão</v>
      </c>
      <c r="I80" s="16" t="str">
        <f t="shared" si="13"/>
        <v>Remuneração, Planejamento e Gestão</v>
      </c>
      <c r="J80" s="16" t="str">
        <f t="shared" si="14"/>
        <v>Remuneração, Planejamento e Gestão</v>
      </c>
      <c r="K80" s="17" t="s">
        <v>335</v>
      </c>
      <c r="L80" s="17">
        <v>20080</v>
      </c>
      <c r="M80" s="18" t="s">
        <v>336</v>
      </c>
      <c r="N80" s="17" t="s">
        <v>22</v>
      </c>
      <c r="O80" s="17" t="s">
        <v>337</v>
      </c>
      <c r="P80" s="17"/>
      <c r="Q80" s="17"/>
      <c r="R80" s="17" t="s">
        <v>30</v>
      </c>
      <c r="S80" s="17" t="s">
        <v>25</v>
      </c>
    </row>
    <row r="81" spans="1:19" ht="15" hidden="1" customHeight="1" x14ac:dyDescent="0.2">
      <c r="A81" s="19" t="s">
        <v>6</v>
      </c>
      <c r="B81" s="20" t="s">
        <v>319</v>
      </c>
      <c r="C81" s="20" t="s">
        <v>338</v>
      </c>
      <c r="D81" s="21" t="str">
        <f t="shared" si="8"/>
        <v>Presidência</v>
      </c>
      <c r="E81" s="21" t="str">
        <f t="shared" si="9"/>
        <v>Pessoas &amp; Cultura</v>
      </c>
      <c r="F81" s="21" t="str">
        <f t="shared" si="10"/>
        <v>Remuneração, Planejamento e Gestão</v>
      </c>
      <c r="G81" s="21" t="str">
        <f t="shared" si="11"/>
        <v>Remuneração, Benefícios e Planej. Organizacional</v>
      </c>
      <c r="H81" s="21" t="str">
        <f t="shared" si="12"/>
        <v>Remuneração, Benefícios e Planej. Organizacional</v>
      </c>
      <c r="I81" s="21" t="str">
        <f t="shared" si="13"/>
        <v>Remuneração, Benefícios e Planej. Organizacional</v>
      </c>
      <c r="J81" s="21" t="str">
        <f t="shared" si="14"/>
        <v>Remuneração, Benefícios e Planej. Organizacional</v>
      </c>
      <c r="K81" s="22" t="s">
        <v>339</v>
      </c>
      <c r="L81" s="22">
        <v>308425</v>
      </c>
      <c r="M81" s="23" t="s">
        <v>340</v>
      </c>
      <c r="N81" s="22" t="s">
        <v>22</v>
      </c>
      <c r="O81" s="22" t="s">
        <v>341</v>
      </c>
      <c r="P81" s="22"/>
      <c r="Q81" s="22"/>
      <c r="R81" s="22" t="s">
        <v>35</v>
      </c>
      <c r="S81" s="22" t="s">
        <v>25</v>
      </c>
    </row>
    <row r="82" spans="1:19" ht="15" hidden="1" customHeight="1" x14ac:dyDescent="0.2">
      <c r="A82" s="19" t="s">
        <v>6</v>
      </c>
      <c r="B82" s="20" t="s">
        <v>319</v>
      </c>
      <c r="C82" s="20" t="s">
        <v>342</v>
      </c>
      <c r="D82" s="21" t="str">
        <f t="shared" si="8"/>
        <v>Presidência</v>
      </c>
      <c r="E82" s="21" t="str">
        <f t="shared" si="9"/>
        <v>Pessoas &amp; Cultura</v>
      </c>
      <c r="F82" s="21" t="str">
        <f t="shared" si="10"/>
        <v>Remuneração, Planejamento e Gestão</v>
      </c>
      <c r="G82" s="21" t="str">
        <f t="shared" si="11"/>
        <v>Analytics, Gestão, Sistemas e Terceiros</v>
      </c>
      <c r="H82" s="21" t="str">
        <f t="shared" si="12"/>
        <v>Analytics, Gestão, Sistemas e Terceiros</v>
      </c>
      <c r="I82" s="21" t="str">
        <f t="shared" si="13"/>
        <v>Analytics, Gestão, Sistemas e Terceiros</v>
      </c>
      <c r="J82" s="21" t="str">
        <f t="shared" si="14"/>
        <v>Analytics, Gestão, Sistemas e Terceiros</v>
      </c>
      <c r="K82" s="22" t="s">
        <v>343</v>
      </c>
      <c r="L82" s="22">
        <v>413103</v>
      </c>
      <c r="M82" s="23" t="s">
        <v>344</v>
      </c>
      <c r="N82" s="22" t="s">
        <v>22</v>
      </c>
      <c r="O82" s="22" t="s">
        <v>345</v>
      </c>
      <c r="P82" s="22"/>
      <c r="Q82" s="22"/>
      <c r="R82" s="22" t="s">
        <v>35</v>
      </c>
      <c r="S82" s="22" t="s">
        <v>25</v>
      </c>
    </row>
    <row r="83" spans="1:19" ht="15" hidden="1" customHeight="1" x14ac:dyDescent="0.2">
      <c r="A83" s="19" t="s">
        <v>6</v>
      </c>
      <c r="B83" s="20" t="s">
        <v>319</v>
      </c>
      <c r="C83" s="20" t="s">
        <v>346</v>
      </c>
      <c r="D83" s="21" t="str">
        <f t="shared" si="8"/>
        <v>Presidência</v>
      </c>
      <c r="E83" s="21" t="str">
        <f t="shared" si="9"/>
        <v>Pessoas &amp; Cultura</v>
      </c>
      <c r="F83" s="21" t="str">
        <f t="shared" si="10"/>
        <v>Remuneração, Planejamento e Gestão</v>
      </c>
      <c r="G83" s="21" t="str">
        <f t="shared" si="11"/>
        <v>Folha de Pagamento e Operações de RH</v>
      </c>
      <c r="H83" s="21" t="str">
        <f t="shared" si="12"/>
        <v>Folha de Pagamento e Operações de RH</v>
      </c>
      <c r="I83" s="21" t="str">
        <f t="shared" si="13"/>
        <v>Folha de Pagamento e Operações de RH</v>
      </c>
      <c r="J83" s="21" t="str">
        <f t="shared" si="14"/>
        <v>Folha de Pagamento e Operações de RH</v>
      </c>
      <c r="K83" s="22" t="s">
        <v>347</v>
      </c>
      <c r="L83" s="22">
        <v>16537</v>
      </c>
      <c r="M83" s="23" t="s">
        <v>348</v>
      </c>
      <c r="N83" s="22" t="s">
        <v>22</v>
      </c>
      <c r="O83" s="22" t="s">
        <v>349</v>
      </c>
      <c r="P83" s="22"/>
      <c r="Q83" s="22"/>
      <c r="R83" s="22" t="s">
        <v>35</v>
      </c>
      <c r="S83" s="22" t="s">
        <v>25</v>
      </c>
    </row>
    <row r="84" spans="1:19" ht="15" hidden="1" customHeight="1" x14ac:dyDescent="0.2">
      <c r="A84" s="14" t="s">
        <v>5</v>
      </c>
      <c r="B84" s="15" t="s">
        <v>319</v>
      </c>
      <c r="C84" s="15" t="s">
        <v>350</v>
      </c>
      <c r="D84" s="16" t="str">
        <f t="shared" si="8"/>
        <v>Presidência</v>
      </c>
      <c r="E84" s="16" t="str">
        <f t="shared" si="9"/>
        <v>Pessoas &amp; Cultura</v>
      </c>
      <c r="F84" s="16" t="str">
        <f t="shared" si="10"/>
        <v>Jornada &amp; Experiência do Colaborador</v>
      </c>
      <c r="G84" s="16" t="str">
        <f t="shared" si="11"/>
        <v>Jornada &amp; Experiência do Colaborador</v>
      </c>
      <c r="H84" s="16" t="str">
        <f t="shared" si="12"/>
        <v>Jornada &amp; Experiência do Colaborador</v>
      </c>
      <c r="I84" s="16" t="str">
        <f t="shared" si="13"/>
        <v>Jornada &amp; Experiência do Colaborador</v>
      </c>
      <c r="J84" s="16" t="str">
        <f t="shared" si="14"/>
        <v>Jornada &amp; Experiência do Colaborador</v>
      </c>
      <c r="K84" s="17" t="s">
        <v>351</v>
      </c>
      <c r="L84" s="17">
        <v>66758</v>
      </c>
      <c r="M84" s="18" t="s">
        <v>352</v>
      </c>
      <c r="N84" s="17" t="s">
        <v>22</v>
      </c>
      <c r="O84" s="17" t="s">
        <v>353</v>
      </c>
      <c r="P84" s="17" t="s">
        <v>262</v>
      </c>
      <c r="Q84" s="17"/>
      <c r="R84" s="17" t="s">
        <v>30</v>
      </c>
      <c r="S84" s="17" t="s">
        <v>25</v>
      </c>
    </row>
    <row r="85" spans="1:19" ht="15" hidden="1" customHeight="1" x14ac:dyDescent="0.2">
      <c r="A85" s="19" t="s">
        <v>6</v>
      </c>
      <c r="B85" s="20" t="s">
        <v>319</v>
      </c>
      <c r="C85" s="20" t="s">
        <v>354</v>
      </c>
      <c r="D85" s="21" t="str">
        <f t="shared" si="8"/>
        <v>Presidência</v>
      </c>
      <c r="E85" s="21" t="str">
        <f t="shared" si="9"/>
        <v>Pessoas &amp; Cultura</v>
      </c>
      <c r="F85" s="21" t="str">
        <f t="shared" si="10"/>
        <v>Jornada &amp; Experiência do Colaborador</v>
      </c>
      <c r="G85" s="21" t="str">
        <f t="shared" si="11"/>
        <v>Consultoria Gestão e Atração de Pessoas</v>
      </c>
      <c r="H85" s="21" t="str">
        <f t="shared" si="12"/>
        <v>Consultoria Gestão e Atração de Pessoas</v>
      </c>
      <c r="I85" s="21" t="str">
        <f t="shared" si="13"/>
        <v>Consultoria Gestão e Atração de Pessoas</v>
      </c>
      <c r="J85" s="21" t="str">
        <f t="shared" si="14"/>
        <v>Consultoria Gestão e Atração de Pessoas</v>
      </c>
      <c r="K85" s="22" t="s">
        <v>355</v>
      </c>
      <c r="L85" s="22">
        <v>310798</v>
      </c>
      <c r="M85" s="23" t="s">
        <v>356</v>
      </c>
      <c r="N85" s="22" t="s">
        <v>22</v>
      </c>
      <c r="O85" s="22" t="s">
        <v>357</v>
      </c>
      <c r="P85" s="22"/>
      <c r="Q85" s="22"/>
      <c r="R85" s="22" t="s">
        <v>35</v>
      </c>
      <c r="S85" s="22" t="s">
        <v>25</v>
      </c>
    </row>
    <row r="86" spans="1:19" ht="15" hidden="1" customHeight="1" x14ac:dyDescent="0.2">
      <c r="A86" s="19" t="s">
        <v>6</v>
      </c>
      <c r="B86" s="20" t="s">
        <v>319</v>
      </c>
      <c r="C86" s="20" t="s">
        <v>358</v>
      </c>
      <c r="D86" s="21" t="str">
        <f t="shared" si="8"/>
        <v>Presidência</v>
      </c>
      <c r="E86" s="21" t="str">
        <f t="shared" si="9"/>
        <v>Pessoas &amp; Cultura</v>
      </c>
      <c r="F86" s="21" t="str">
        <f t="shared" si="10"/>
        <v>Jornada &amp; Experiência do Colaborador</v>
      </c>
      <c r="G86" s="21" t="str">
        <f t="shared" si="11"/>
        <v>Aprendizagem Corporativa &amp; Aceleração de Talentos</v>
      </c>
      <c r="H86" s="21" t="str">
        <f t="shared" si="12"/>
        <v>Aprendizagem Corporativa &amp; Aceleração de Talentos</v>
      </c>
      <c r="I86" s="21" t="str">
        <f t="shared" si="13"/>
        <v>Aprendizagem Corporativa &amp; Aceleração de Talentos</v>
      </c>
      <c r="J86" s="21" t="str">
        <f t="shared" si="14"/>
        <v>Aprendizagem Corporativa &amp; Aceleração de Talentos</v>
      </c>
      <c r="K86" s="22" t="s">
        <v>359</v>
      </c>
      <c r="L86" s="22">
        <v>270194</v>
      </c>
      <c r="M86" s="23" t="s">
        <v>360</v>
      </c>
      <c r="N86" s="22" t="s">
        <v>22</v>
      </c>
      <c r="O86" s="22" t="s">
        <v>361</v>
      </c>
      <c r="P86" s="22"/>
      <c r="Q86" s="22"/>
      <c r="R86" s="22" t="s">
        <v>35</v>
      </c>
      <c r="S86" s="22" t="s">
        <v>25</v>
      </c>
    </row>
    <row r="87" spans="1:19" ht="15" hidden="1" customHeight="1" x14ac:dyDescent="0.2">
      <c r="A87" s="19" t="s">
        <v>6</v>
      </c>
      <c r="B87" s="20" t="s">
        <v>319</v>
      </c>
      <c r="C87" s="20" t="s">
        <v>362</v>
      </c>
      <c r="D87" s="21" t="str">
        <f t="shared" si="8"/>
        <v>Presidência</v>
      </c>
      <c r="E87" s="21" t="str">
        <f t="shared" si="9"/>
        <v>Pessoas &amp; Cultura</v>
      </c>
      <c r="F87" s="21" t="str">
        <f t="shared" si="10"/>
        <v>Jornada &amp; Experiência do Colaborador</v>
      </c>
      <c r="G87" s="21" t="str">
        <f t="shared" si="11"/>
        <v>Rel Trabs, Saúde, Segurança e Bem Estar</v>
      </c>
      <c r="H87" s="21" t="str">
        <f t="shared" si="12"/>
        <v>Rel Trabs, Saúde, Segurança e Bem Estar</v>
      </c>
      <c r="I87" s="21" t="str">
        <f t="shared" si="13"/>
        <v>Rel Trabs, Saúde, Segurança e Bem Estar</v>
      </c>
      <c r="J87" s="21" t="str">
        <f t="shared" si="14"/>
        <v>Rel Trabs, Saúde, Segurança e Bem Estar</v>
      </c>
      <c r="K87" s="22" t="s">
        <v>363</v>
      </c>
      <c r="L87" s="22">
        <v>317650</v>
      </c>
      <c r="M87" s="23" t="s">
        <v>364</v>
      </c>
      <c r="N87" s="22" t="s">
        <v>22</v>
      </c>
      <c r="O87" s="22" t="s">
        <v>365</v>
      </c>
      <c r="P87" s="22"/>
      <c r="Q87" s="22"/>
      <c r="R87" s="22" t="s">
        <v>35</v>
      </c>
      <c r="S87" s="22" t="s">
        <v>25</v>
      </c>
    </row>
    <row r="88" spans="1:19" ht="15" hidden="1" customHeight="1" x14ac:dyDescent="0.2">
      <c r="A88" s="14" t="s">
        <v>5</v>
      </c>
      <c r="B88" s="15" t="s">
        <v>319</v>
      </c>
      <c r="C88" s="15" t="s">
        <v>366</v>
      </c>
      <c r="D88" s="16" t="str">
        <f t="shared" si="8"/>
        <v>Presidência</v>
      </c>
      <c r="E88" s="16" t="str">
        <f t="shared" si="9"/>
        <v>Pessoas &amp; Cultura</v>
      </c>
      <c r="F88" s="16" t="str">
        <f t="shared" si="10"/>
        <v>Planejamento e Desempenho Oi Futuro</v>
      </c>
      <c r="G88" s="16" t="str">
        <f t="shared" si="11"/>
        <v>Planejamento e Desempenho Oi Futuro</v>
      </c>
      <c r="H88" s="16" t="str">
        <f t="shared" si="12"/>
        <v>Planejamento e Desempenho Oi Futuro</v>
      </c>
      <c r="I88" s="16" t="str">
        <f t="shared" si="13"/>
        <v>Planejamento e Desempenho Oi Futuro</v>
      </c>
      <c r="J88" s="16" t="str">
        <f t="shared" si="14"/>
        <v>Planejamento e Desempenho Oi Futuro</v>
      </c>
      <c r="K88" s="17" t="s">
        <v>367</v>
      </c>
      <c r="L88" s="17">
        <v>41008</v>
      </c>
      <c r="M88" s="18" t="s">
        <v>368</v>
      </c>
      <c r="N88" s="17" t="s">
        <v>22</v>
      </c>
      <c r="O88" s="17" t="s">
        <v>369</v>
      </c>
      <c r="P88" s="17"/>
      <c r="Q88" s="17"/>
      <c r="R88" s="17" t="s">
        <v>30</v>
      </c>
      <c r="S88" s="17" t="s">
        <v>25</v>
      </c>
    </row>
    <row r="89" spans="1:19" ht="15" hidden="1" customHeight="1" x14ac:dyDescent="0.2">
      <c r="A89" s="19" t="s">
        <v>6</v>
      </c>
      <c r="B89" s="20" t="s">
        <v>319</v>
      </c>
      <c r="C89" s="20" t="s">
        <v>370</v>
      </c>
      <c r="D89" s="21" t="str">
        <f t="shared" si="8"/>
        <v>Presidência</v>
      </c>
      <c r="E89" s="21" t="str">
        <f t="shared" si="9"/>
        <v>Pessoas &amp; Cultura</v>
      </c>
      <c r="F89" s="21" t="str">
        <f t="shared" si="10"/>
        <v>Planejamento e Desempenho Oi Futuro</v>
      </c>
      <c r="G89" s="21" t="str">
        <f t="shared" si="11"/>
        <v>Programas de Educação Oi Futuro</v>
      </c>
      <c r="H89" s="21" t="str">
        <f t="shared" si="12"/>
        <v>Programas de Educação Oi Futuro</v>
      </c>
      <c r="I89" s="21" t="str">
        <f t="shared" si="13"/>
        <v>Programas de Educação Oi Futuro</v>
      </c>
      <c r="J89" s="21" t="str">
        <f t="shared" si="14"/>
        <v>Programas de Educação Oi Futuro</v>
      </c>
      <c r="K89" s="22" t="s">
        <v>371</v>
      </c>
      <c r="L89" s="22">
        <v>308379</v>
      </c>
      <c r="M89" s="23" t="s">
        <v>372</v>
      </c>
      <c r="N89" s="22" t="s">
        <v>22</v>
      </c>
      <c r="O89" s="22" t="s">
        <v>373</v>
      </c>
      <c r="P89" s="22"/>
      <c r="Q89" s="22"/>
      <c r="R89" s="22" t="s">
        <v>35</v>
      </c>
      <c r="S89" s="22" t="s">
        <v>25</v>
      </c>
    </row>
    <row r="90" spans="1:19" ht="15" customHeight="1" collapsed="1" x14ac:dyDescent="0.2">
      <c r="A90" s="9" t="s">
        <v>4</v>
      </c>
      <c r="B90" s="10" t="s">
        <v>374</v>
      </c>
      <c r="C90" s="10" t="s">
        <v>374</v>
      </c>
      <c r="D90" s="11" t="str">
        <f t="shared" si="8"/>
        <v>Presidência</v>
      </c>
      <c r="E90" s="11" t="str">
        <f t="shared" si="9"/>
        <v>Ouvidoria e Atendimento VIP</v>
      </c>
      <c r="F90" s="11" t="str">
        <f t="shared" si="10"/>
        <v>Ouvidoria e Atendimento VIP</v>
      </c>
      <c r="G90" s="11" t="str">
        <f t="shared" si="11"/>
        <v>Ouvidoria e Atendimento VIP</v>
      </c>
      <c r="H90" s="11" t="str">
        <f t="shared" si="12"/>
        <v>Ouvidoria e Atendimento VIP</v>
      </c>
      <c r="I90" s="11" t="str">
        <f t="shared" si="13"/>
        <v>Ouvidoria e Atendimento VIP</v>
      </c>
      <c r="J90" s="11" t="str">
        <f t="shared" si="14"/>
        <v>Ouvidoria e Atendimento VIP</v>
      </c>
      <c r="K90" s="12" t="s">
        <v>375</v>
      </c>
      <c r="L90" s="12">
        <v>306140</v>
      </c>
      <c r="M90" s="13" t="s">
        <v>376</v>
      </c>
      <c r="N90" s="12" t="s">
        <v>22</v>
      </c>
      <c r="O90" s="12" t="s">
        <v>377</v>
      </c>
      <c r="P90" s="12"/>
      <c r="Q90" s="12"/>
      <c r="R90" s="12" t="s">
        <v>35</v>
      </c>
      <c r="S90" s="12" t="s">
        <v>25</v>
      </c>
    </row>
    <row r="91" spans="1:19" ht="15" customHeight="1" x14ac:dyDescent="0.2">
      <c r="A91" s="9" t="s">
        <v>4</v>
      </c>
      <c r="B91" s="10" t="s">
        <v>378</v>
      </c>
      <c r="C91" s="10" t="s">
        <v>378</v>
      </c>
      <c r="D91" s="11" t="str">
        <f t="shared" si="8"/>
        <v>Presidência</v>
      </c>
      <c r="E91" s="11" t="str">
        <f t="shared" si="9"/>
        <v>Tecnologia</v>
      </c>
      <c r="F91" s="11" t="str">
        <f t="shared" si="10"/>
        <v>Tecnologia</v>
      </c>
      <c r="G91" s="11" t="str">
        <f t="shared" si="11"/>
        <v>Tecnologia</v>
      </c>
      <c r="H91" s="11" t="str">
        <f t="shared" si="12"/>
        <v>Tecnologia</v>
      </c>
      <c r="I91" s="11" t="str">
        <f t="shared" si="13"/>
        <v>Tecnologia</v>
      </c>
      <c r="J91" s="11" t="str">
        <f t="shared" si="14"/>
        <v>Tecnologia</v>
      </c>
      <c r="K91" s="37" t="s">
        <v>379</v>
      </c>
      <c r="L91" s="37">
        <v>416434</v>
      </c>
      <c r="M91" s="13" t="s">
        <v>380</v>
      </c>
      <c r="N91" s="12" t="s">
        <v>381</v>
      </c>
      <c r="O91" s="12" t="s">
        <v>382</v>
      </c>
      <c r="P91" s="12"/>
      <c r="Q91" s="12" t="s">
        <v>383</v>
      </c>
      <c r="R91" s="12" t="s">
        <v>30</v>
      </c>
      <c r="S91" s="12" t="s">
        <v>25</v>
      </c>
    </row>
    <row r="92" spans="1:19" ht="15" hidden="1" customHeight="1" x14ac:dyDescent="0.2">
      <c r="A92" s="14" t="s">
        <v>5</v>
      </c>
      <c r="B92" s="15" t="s">
        <v>378</v>
      </c>
      <c r="C92" s="15" t="s">
        <v>384</v>
      </c>
      <c r="D92" s="16" t="str">
        <f t="shared" si="8"/>
        <v>Presidência</v>
      </c>
      <c r="E92" s="16" t="str">
        <f t="shared" si="9"/>
        <v>Tecnologia</v>
      </c>
      <c r="F92" s="16" t="str">
        <f t="shared" si="10"/>
        <v>Soluções Oi Fibra e Aplicações Corporativas</v>
      </c>
      <c r="G92" s="16" t="str">
        <f t="shared" si="11"/>
        <v>Soluções Oi Fibra e Aplicações Corporativas</v>
      </c>
      <c r="H92" s="16" t="str">
        <f t="shared" si="12"/>
        <v>Soluções Oi Fibra e Aplicações Corporativas</v>
      </c>
      <c r="I92" s="16" t="str">
        <f t="shared" si="13"/>
        <v>Soluções Oi Fibra e Aplicações Corporativas</v>
      </c>
      <c r="J92" s="16" t="str">
        <f t="shared" si="14"/>
        <v>Soluções Oi Fibra e Aplicações Corporativas</v>
      </c>
      <c r="K92" s="17" t="s">
        <v>385</v>
      </c>
      <c r="L92" s="17">
        <v>62290</v>
      </c>
      <c r="M92" s="18" t="s">
        <v>386</v>
      </c>
      <c r="N92" s="17" t="s">
        <v>381</v>
      </c>
      <c r="O92" s="17" t="s">
        <v>387</v>
      </c>
      <c r="P92" s="17"/>
      <c r="Q92" s="17" t="s">
        <v>388</v>
      </c>
      <c r="R92" s="17" t="s">
        <v>30</v>
      </c>
      <c r="S92" s="17" t="s">
        <v>389</v>
      </c>
    </row>
    <row r="93" spans="1:19" ht="15" hidden="1" customHeight="1" x14ac:dyDescent="0.2">
      <c r="A93" s="25" t="s">
        <v>6</v>
      </c>
      <c r="B93" s="26" t="s">
        <v>378</v>
      </c>
      <c r="C93" s="26" t="s">
        <v>390</v>
      </c>
      <c r="D93" s="27" t="str">
        <f t="shared" si="8"/>
        <v>Presidência</v>
      </c>
      <c r="E93" s="27" t="str">
        <f t="shared" si="9"/>
        <v>Tecnologia</v>
      </c>
      <c r="F93" s="27" t="str">
        <f t="shared" si="10"/>
        <v>Soluções Oi Fibra e Aplicações Corporativas</v>
      </c>
      <c r="G93" s="27" t="str">
        <f t="shared" si="11"/>
        <v>Vendas Digitais</v>
      </c>
      <c r="H93" s="27" t="str">
        <f t="shared" si="12"/>
        <v>Vendas Digitais</v>
      </c>
      <c r="I93" s="27" t="str">
        <f t="shared" si="13"/>
        <v>Vendas Digitais</v>
      </c>
      <c r="J93" s="27" t="str">
        <f t="shared" si="14"/>
        <v>Vendas Digitais</v>
      </c>
      <c r="K93" s="28" t="s">
        <v>391</v>
      </c>
      <c r="L93" s="28">
        <v>70649</v>
      </c>
      <c r="M93" s="29" t="s">
        <v>392</v>
      </c>
      <c r="N93" s="28" t="s">
        <v>381</v>
      </c>
      <c r="O93" s="28" t="s">
        <v>393</v>
      </c>
      <c r="P93" s="28"/>
      <c r="Q93" s="28" t="s">
        <v>388</v>
      </c>
      <c r="R93" s="28" t="s">
        <v>35</v>
      </c>
      <c r="S93" s="28" t="s">
        <v>389</v>
      </c>
    </row>
    <row r="94" spans="1:19" ht="15" hidden="1" customHeight="1" x14ac:dyDescent="0.2">
      <c r="A94" s="25" t="s">
        <v>6</v>
      </c>
      <c r="B94" s="26" t="s">
        <v>378</v>
      </c>
      <c r="C94" s="26" t="s">
        <v>394</v>
      </c>
      <c r="D94" s="27" t="str">
        <f t="shared" si="8"/>
        <v>Presidência</v>
      </c>
      <c r="E94" s="27" t="str">
        <f t="shared" si="9"/>
        <v>Tecnologia</v>
      </c>
      <c r="F94" s="27" t="str">
        <f t="shared" si="10"/>
        <v>Soluções Oi Fibra e Aplicações Corporativas</v>
      </c>
      <c r="G94" s="27" t="str">
        <f t="shared" si="11"/>
        <v>Faturamento BRM</v>
      </c>
      <c r="H94" s="27" t="str">
        <f t="shared" si="12"/>
        <v>Faturamento BRM</v>
      </c>
      <c r="I94" s="27" t="str">
        <f t="shared" si="13"/>
        <v>Faturamento BRM</v>
      </c>
      <c r="J94" s="27" t="str">
        <f t="shared" si="14"/>
        <v>Faturamento BRM</v>
      </c>
      <c r="K94" s="28" t="s">
        <v>395</v>
      </c>
      <c r="L94" s="28">
        <v>312345</v>
      </c>
      <c r="M94" s="29" t="s">
        <v>396</v>
      </c>
      <c r="N94" s="28" t="s">
        <v>381</v>
      </c>
      <c r="O94" s="28" t="s">
        <v>397</v>
      </c>
      <c r="P94" s="28"/>
      <c r="Q94" s="28" t="s">
        <v>388</v>
      </c>
      <c r="R94" s="28" t="s">
        <v>35</v>
      </c>
      <c r="S94" s="28" t="s">
        <v>389</v>
      </c>
    </row>
    <row r="95" spans="1:19" ht="15" hidden="1" customHeight="1" x14ac:dyDescent="0.2">
      <c r="A95" s="25" t="s">
        <v>6</v>
      </c>
      <c r="B95" s="26" t="s">
        <v>378</v>
      </c>
      <c r="C95" s="26" t="s">
        <v>398</v>
      </c>
      <c r="D95" s="27" t="str">
        <f t="shared" si="8"/>
        <v>Presidência</v>
      </c>
      <c r="E95" s="27" t="str">
        <f t="shared" si="9"/>
        <v>Tecnologia</v>
      </c>
      <c r="F95" s="27" t="str">
        <f t="shared" si="10"/>
        <v>Soluções Oi Fibra e Aplicações Corporativas</v>
      </c>
      <c r="G95" s="27" t="str">
        <f t="shared" si="11"/>
        <v>Desenvolvimento Oi Place</v>
      </c>
      <c r="H95" s="27" t="str">
        <f t="shared" si="12"/>
        <v>Desenvolvimento Oi Place</v>
      </c>
      <c r="I95" s="27" t="str">
        <f t="shared" si="13"/>
        <v>Desenvolvimento Oi Place</v>
      </c>
      <c r="J95" s="27" t="str">
        <f t="shared" si="14"/>
        <v>Desenvolvimento Oi Place</v>
      </c>
      <c r="K95" s="28" t="s">
        <v>399</v>
      </c>
      <c r="L95" s="28">
        <v>88431</v>
      </c>
      <c r="M95" s="29" t="s">
        <v>400</v>
      </c>
      <c r="N95" s="28" t="s">
        <v>381</v>
      </c>
      <c r="O95" s="28" t="s">
        <v>401</v>
      </c>
      <c r="P95" s="28"/>
      <c r="Q95" s="28" t="s">
        <v>388</v>
      </c>
      <c r="R95" s="28" t="s">
        <v>35</v>
      </c>
      <c r="S95" s="28" t="s">
        <v>402</v>
      </c>
    </row>
    <row r="96" spans="1:19" ht="15" hidden="1" customHeight="1" x14ac:dyDescent="0.2">
      <c r="A96" s="25" t="s">
        <v>6</v>
      </c>
      <c r="B96" s="26" t="s">
        <v>378</v>
      </c>
      <c r="C96" s="26" t="s">
        <v>403</v>
      </c>
      <c r="D96" s="27" t="str">
        <f t="shared" si="8"/>
        <v>Presidência</v>
      </c>
      <c r="E96" s="27" t="str">
        <f t="shared" si="9"/>
        <v>Tecnologia</v>
      </c>
      <c r="F96" s="27" t="str">
        <f t="shared" si="10"/>
        <v>Soluções Oi Fibra e Aplicações Corporativas</v>
      </c>
      <c r="G96" s="27" t="str">
        <f t="shared" si="11"/>
        <v>UX</v>
      </c>
      <c r="H96" s="27" t="str">
        <f t="shared" si="12"/>
        <v>UX</v>
      </c>
      <c r="I96" s="27" t="str">
        <f t="shared" si="13"/>
        <v>UX</v>
      </c>
      <c r="J96" s="27" t="str">
        <f t="shared" si="14"/>
        <v>UX</v>
      </c>
      <c r="K96" s="28" t="s">
        <v>404</v>
      </c>
      <c r="L96" s="28">
        <v>407036</v>
      </c>
      <c r="M96" s="29" t="s">
        <v>405</v>
      </c>
      <c r="N96" s="28" t="s">
        <v>381</v>
      </c>
      <c r="O96" s="28" t="s">
        <v>406</v>
      </c>
      <c r="P96" s="28"/>
      <c r="Q96" s="28" t="s">
        <v>388</v>
      </c>
      <c r="R96" s="28" t="s">
        <v>35</v>
      </c>
      <c r="S96" s="28" t="s">
        <v>389</v>
      </c>
    </row>
    <row r="97" spans="1:19" ht="15" hidden="1" customHeight="1" x14ac:dyDescent="0.2">
      <c r="A97" s="25" t="s">
        <v>6</v>
      </c>
      <c r="B97" s="26" t="s">
        <v>378</v>
      </c>
      <c r="C97" s="26" t="s">
        <v>407</v>
      </c>
      <c r="D97" s="27" t="str">
        <f t="shared" si="8"/>
        <v>Presidência</v>
      </c>
      <c r="E97" s="27" t="str">
        <f t="shared" si="9"/>
        <v>Tecnologia</v>
      </c>
      <c r="F97" s="27" t="str">
        <f t="shared" si="10"/>
        <v>Soluções Oi Fibra e Aplicações Corporativas</v>
      </c>
      <c r="G97" s="27" t="str">
        <f t="shared" si="11"/>
        <v>Atendimento e Aplicações de Negócios</v>
      </c>
      <c r="H97" s="27" t="str">
        <f t="shared" si="12"/>
        <v>Atendimento e Aplicações de Negócios</v>
      </c>
      <c r="I97" s="27" t="str">
        <f t="shared" si="13"/>
        <v>Atendimento e Aplicações de Negócios</v>
      </c>
      <c r="J97" s="27" t="str">
        <f t="shared" si="14"/>
        <v>Atendimento e Aplicações de Negócios</v>
      </c>
      <c r="K97" s="28" t="s">
        <v>408</v>
      </c>
      <c r="L97" s="28">
        <v>308688</v>
      </c>
      <c r="M97" s="29" t="s">
        <v>409</v>
      </c>
      <c r="N97" s="28" t="s">
        <v>381</v>
      </c>
      <c r="O97" s="28" t="s">
        <v>410</v>
      </c>
      <c r="P97" s="28"/>
      <c r="Q97" s="28" t="s">
        <v>388</v>
      </c>
      <c r="R97" s="28" t="s">
        <v>35</v>
      </c>
      <c r="S97" s="28" t="s">
        <v>389</v>
      </c>
    </row>
    <row r="98" spans="1:19" ht="15" hidden="1" customHeight="1" x14ac:dyDescent="0.2">
      <c r="A98" s="25" t="s">
        <v>6</v>
      </c>
      <c r="B98" s="26" t="s">
        <v>378</v>
      </c>
      <c r="C98" s="26" t="s">
        <v>411</v>
      </c>
      <c r="D98" s="27" t="str">
        <f t="shared" si="8"/>
        <v>Presidência</v>
      </c>
      <c r="E98" s="27" t="str">
        <f t="shared" si="9"/>
        <v>Tecnologia</v>
      </c>
      <c r="F98" s="27" t="str">
        <f t="shared" si="10"/>
        <v>Soluções Oi Fibra e Aplicações Corporativas</v>
      </c>
      <c r="G98" s="27" t="str">
        <f t="shared" si="11"/>
        <v>Faturamento Legado e Aplicaçoes Corporativas</v>
      </c>
      <c r="H98" s="27" t="str">
        <f t="shared" si="12"/>
        <v>Faturamento Legado e Aplicaçoes Corporativas</v>
      </c>
      <c r="I98" s="27" t="str">
        <f t="shared" si="13"/>
        <v>Faturamento Legado e Aplicaçoes Corporativas</v>
      </c>
      <c r="J98" s="27" t="str">
        <f t="shared" si="14"/>
        <v>Faturamento Legado e Aplicaçoes Corporativas</v>
      </c>
      <c r="K98" s="28" t="s">
        <v>412</v>
      </c>
      <c r="L98" s="28">
        <v>158244</v>
      </c>
      <c r="M98" s="29" t="s">
        <v>413</v>
      </c>
      <c r="N98" s="28" t="s">
        <v>381</v>
      </c>
      <c r="O98" s="28" t="s">
        <v>414</v>
      </c>
      <c r="P98" s="28"/>
      <c r="Q98" s="28" t="s">
        <v>388</v>
      </c>
      <c r="R98" s="28" t="s">
        <v>35</v>
      </c>
      <c r="S98" s="28" t="s">
        <v>25</v>
      </c>
    </row>
    <row r="99" spans="1:19" ht="15" hidden="1" customHeight="1" x14ac:dyDescent="0.2">
      <c r="A99" s="25" t="s">
        <v>6</v>
      </c>
      <c r="B99" s="26" t="s">
        <v>378</v>
      </c>
      <c r="C99" s="26" t="s">
        <v>415</v>
      </c>
      <c r="D99" s="27" t="str">
        <f t="shared" si="8"/>
        <v>Presidência</v>
      </c>
      <c r="E99" s="27" t="str">
        <f t="shared" si="9"/>
        <v>Tecnologia</v>
      </c>
      <c r="F99" s="27" t="str">
        <f t="shared" si="10"/>
        <v>Soluções Oi Fibra e Aplicações Corporativas</v>
      </c>
      <c r="G99" s="27" t="str">
        <f t="shared" si="11"/>
        <v>Desenvolvimento CRM - Siebel</v>
      </c>
      <c r="H99" s="27" t="str">
        <f t="shared" si="12"/>
        <v>Desenvolvimento CRM - Siebel</v>
      </c>
      <c r="I99" s="27" t="str">
        <f t="shared" si="13"/>
        <v>Desenvolvimento CRM - Siebel</v>
      </c>
      <c r="J99" s="27" t="str">
        <f t="shared" si="14"/>
        <v>Desenvolvimento CRM - Siebel</v>
      </c>
      <c r="K99" s="28" t="s">
        <v>416</v>
      </c>
      <c r="L99" s="28">
        <v>74332</v>
      </c>
      <c r="M99" s="29" t="s">
        <v>417</v>
      </c>
      <c r="N99" s="28" t="s">
        <v>381</v>
      </c>
      <c r="O99" s="28" t="s">
        <v>418</v>
      </c>
      <c r="P99" s="28"/>
      <c r="Q99" s="28" t="s">
        <v>388</v>
      </c>
      <c r="R99" s="28" t="s">
        <v>35</v>
      </c>
      <c r="S99" s="28" t="s">
        <v>389</v>
      </c>
    </row>
    <row r="100" spans="1:19" ht="15" hidden="1" customHeight="1" x14ac:dyDescent="0.2">
      <c r="A100" s="14" t="s">
        <v>5</v>
      </c>
      <c r="B100" s="15" t="s">
        <v>378</v>
      </c>
      <c r="C100" s="15" t="s">
        <v>419</v>
      </c>
      <c r="D100" s="16" t="str">
        <f t="shared" si="8"/>
        <v>Presidência</v>
      </c>
      <c r="E100" s="16" t="str">
        <f t="shared" si="9"/>
        <v>Tecnologia</v>
      </c>
      <c r="F100" s="16" t="str">
        <f t="shared" si="10"/>
        <v>Desenvolvimento Oi Soluções</v>
      </c>
      <c r="G100" s="16" t="str">
        <f t="shared" si="11"/>
        <v>Desenvolvimento Oi Soluções</v>
      </c>
      <c r="H100" s="16" t="str">
        <f t="shared" si="12"/>
        <v>Desenvolvimento Oi Soluções</v>
      </c>
      <c r="I100" s="16" t="str">
        <f t="shared" si="13"/>
        <v>Desenvolvimento Oi Soluções</v>
      </c>
      <c r="J100" s="16" t="str">
        <f t="shared" si="14"/>
        <v>Desenvolvimento Oi Soluções</v>
      </c>
      <c r="K100" s="17" t="s">
        <v>420</v>
      </c>
      <c r="L100" s="17">
        <v>115099</v>
      </c>
      <c r="M100" s="18" t="s">
        <v>421</v>
      </c>
      <c r="N100" s="17" t="s">
        <v>381</v>
      </c>
      <c r="O100" s="17" t="s">
        <v>422</v>
      </c>
      <c r="P100" s="17"/>
      <c r="Q100" s="17" t="s">
        <v>423</v>
      </c>
      <c r="R100" s="17" t="s">
        <v>35</v>
      </c>
      <c r="S100" s="17" t="s">
        <v>25</v>
      </c>
    </row>
    <row r="101" spans="1:19" ht="15" hidden="1" customHeight="1" x14ac:dyDescent="0.2">
      <c r="A101" s="14" t="s">
        <v>5</v>
      </c>
      <c r="B101" s="15" t="s">
        <v>378</v>
      </c>
      <c r="C101" s="15" t="s">
        <v>424</v>
      </c>
      <c r="D101" s="16" t="str">
        <f t="shared" si="8"/>
        <v>Presidência</v>
      </c>
      <c r="E101" s="16" t="str">
        <f t="shared" si="9"/>
        <v>Tecnologia</v>
      </c>
      <c r="F101" s="16" t="str">
        <f t="shared" si="10"/>
        <v>Arquitetura</v>
      </c>
      <c r="G101" s="16" t="str">
        <f t="shared" si="11"/>
        <v>Arquitetura</v>
      </c>
      <c r="H101" s="16" t="str">
        <f t="shared" si="12"/>
        <v>Arquitetura</v>
      </c>
      <c r="I101" s="16" t="str">
        <f t="shared" si="13"/>
        <v>Arquitetura</v>
      </c>
      <c r="J101" s="16" t="str">
        <f t="shared" si="14"/>
        <v>Arquitetura</v>
      </c>
      <c r="K101" s="17" t="s">
        <v>425</v>
      </c>
      <c r="L101" s="17">
        <v>417279</v>
      </c>
      <c r="M101" s="18" t="s">
        <v>426</v>
      </c>
      <c r="N101" s="17" t="s">
        <v>381</v>
      </c>
      <c r="O101" s="17" t="s">
        <v>427</v>
      </c>
      <c r="P101" s="17"/>
      <c r="Q101" s="17" t="s">
        <v>428</v>
      </c>
      <c r="R101" s="17" t="s">
        <v>30</v>
      </c>
      <c r="S101" s="17" t="s">
        <v>25</v>
      </c>
    </row>
    <row r="102" spans="1:19" ht="15" hidden="1" customHeight="1" x14ac:dyDescent="0.2">
      <c r="A102" s="25" t="s">
        <v>6</v>
      </c>
      <c r="B102" s="26" t="s">
        <v>378</v>
      </c>
      <c r="C102" s="26" t="s">
        <v>429</v>
      </c>
      <c r="D102" s="27" t="str">
        <f t="shared" si="8"/>
        <v>Presidência</v>
      </c>
      <c r="E102" s="27" t="str">
        <f t="shared" si="9"/>
        <v>Tecnologia</v>
      </c>
      <c r="F102" s="27" t="str">
        <f t="shared" si="10"/>
        <v>Arquitetura</v>
      </c>
      <c r="G102" s="27" t="str">
        <f t="shared" si="11"/>
        <v>Arquitetura de Sistemas</v>
      </c>
      <c r="H102" s="27" t="str">
        <f t="shared" si="12"/>
        <v>Arquitetura de Sistemas</v>
      </c>
      <c r="I102" s="27" t="str">
        <f t="shared" si="13"/>
        <v>Arquitetura de Sistemas</v>
      </c>
      <c r="J102" s="27" t="str">
        <f t="shared" si="14"/>
        <v>Arquitetura de Sistemas</v>
      </c>
      <c r="K102" s="28" t="s">
        <v>430</v>
      </c>
      <c r="L102" s="28"/>
      <c r="M102" s="35" t="s">
        <v>66</v>
      </c>
      <c r="N102" s="28" t="s">
        <v>381</v>
      </c>
      <c r="O102" s="28" t="s">
        <v>431</v>
      </c>
      <c r="P102" s="28"/>
      <c r="Q102" s="28" t="s">
        <v>428</v>
      </c>
      <c r="R102" s="28" t="s">
        <v>35</v>
      </c>
      <c r="S102" s="28" t="s">
        <v>25</v>
      </c>
    </row>
    <row r="103" spans="1:19" ht="15" hidden="1" customHeight="1" x14ac:dyDescent="0.2">
      <c r="A103" s="25" t="s">
        <v>6</v>
      </c>
      <c r="B103" s="26" t="s">
        <v>378</v>
      </c>
      <c r="C103" s="26" t="s">
        <v>432</v>
      </c>
      <c r="D103" s="27" t="str">
        <f t="shared" si="8"/>
        <v>Presidência</v>
      </c>
      <c r="E103" s="27" t="str">
        <f t="shared" si="9"/>
        <v>Tecnologia</v>
      </c>
      <c r="F103" s="27" t="str">
        <f t="shared" si="10"/>
        <v>Arquitetura</v>
      </c>
      <c r="G103" s="27" t="str">
        <f t="shared" si="11"/>
        <v>Arquitetura de Infra</v>
      </c>
      <c r="H103" s="27" t="str">
        <f t="shared" si="12"/>
        <v>Arquitetura de Infra</v>
      </c>
      <c r="I103" s="27" t="str">
        <f t="shared" si="13"/>
        <v>Arquitetura de Infra</v>
      </c>
      <c r="J103" s="27" t="str">
        <f t="shared" si="14"/>
        <v>Arquitetura de Infra</v>
      </c>
      <c r="K103" s="28" t="s">
        <v>433</v>
      </c>
      <c r="L103" s="28">
        <v>161766</v>
      </c>
      <c r="M103" s="29" t="s">
        <v>434</v>
      </c>
      <c r="N103" s="28" t="s">
        <v>381</v>
      </c>
      <c r="O103" s="28" t="s">
        <v>435</v>
      </c>
      <c r="P103" s="28"/>
      <c r="Q103" s="28" t="s">
        <v>436</v>
      </c>
      <c r="R103" s="28" t="s">
        <v>35</v>
      </c>
      <c r="S103" s="28" t="s">
        <v>25</v>
      </c>
    </row>
    <row r="104" spans="1:19" ht="15" hidden="1" customHeight="1" x14ac:dyDescent="0.2">
      <c r="A104" s="14" t="s">
        <v>5</v>
      </c>
      <c r="B104" s="15" t="s">
        <v>378</v>
      </c>
      <c r="C104" s="15" t="s">
        <v>437</v>
      </c>
      <c r="D104" s="16" t="str">
        <f t="shared" si="8"/>
        <v>Presidência</v>
      </c>
      <c r="E104" s="16" t="str">
        <f t="shared" si="9"/>
        <v>Tecnologia</v>
      </c>
      <c r="F104" s="16" t="str">
        <f t="shared" si="10"/>
        <v>Infra e Operações</v>
      </c>
      <c r="G104" s="16" t="str">
        <f t="shared" si="11"/>
        <v>Infra e Operações</v>
      </c>
      <c r="H104" s="16" t="str">
        <f t="shared" si="12"/>
        <v>Infra e Operações</v>
      </c>
      <c r="I104" s="16" t="str">
        <f t="shared" si="13"/>
        <v>Infra e Operações</v>
      </c>
      <c r="J104" s="16" t="str">
        <f t="shared" si="14"/>
        <v>Infra e Operações</v>
      </c>
      <c r="K104" s="17" t="s">
        <v>438</v>
      </c>
      <c r="L104" s="17">
        <v>303918</v>
      </c>
      <c r="M104" s="18" t="s">
        <v>439</v>
      </c>
      <c r="N104" s="17" t="s">
        <v>22</v>
      </c>
      <c r="O104" s="17" t="s">
        <v>440</v>
      </c>
      <c r="P104" s="17"/>
      <c r="Q104" s="17"/>
      <c r="R104" s="17" t="s">
        <v>30</v>
      </c>
      <c r="S104" s="17" t="s">
        <v>25</v>
      </c>
    </row>
    <row r="105" spans="1:19" ht="15" hidden="1" customHeight="1" x14ac:dyDescent="0.2">
      <c r="A105" s="25" t="s">
        <v>6</v>
      </c>
      <c r="B105" s="26" t="s">
        <v>378</v>
      </c>
      <c r="C105" s="26" t="s">
        <v>441</v>
      </c>
      <c r="D105" s="27" t="str">
        <f t="shared" si="8"/>
        <v>Presidência</v>
      </c>
      <c r="E105" s="27" t="str">
        <f t="shared" si="9"/>
        <v>Tecnologia</v>
      </c>
      <c r="F105" s="27" t="str">
        <f t="shared" si="10"/>
        <v>Infra e Operações</v>
      </c>
      <c r="G105" s="27" t="str">
        <f t="shared" si="11"/>
        <v>BSS, OSS, Integração e Digital</v>
      </c>
      <c r="H105" s="27" t="str">
        <f t="shared" si="12"/>
        <v>BSS, OSS, Integração e Digital</v>
      </c>
      <c r="I105" s="27" t="str">
        <f t="shared" si="13"/>
        <v>BSS, OSS, Integração e Digital</v>
      </c>
      <c r="J105" s="27" t="str">
        <f t="shared" si="14"/>
        <v>BSS, OSS, Integração e Digital</v>
      </c>
      <c r="K105" s="28" t="s">
        <v>442</v>
      </c>
      <c r="L105" s="28">
        <v>303065</v>
      </c>
      <c r="M105" s="29" t="s">
        <v>443</v>
      </c>
      <c r="N105" s="28" t="s">
        <v>22</v>
      </c>
      <c r="O105" s="28" t="s">
        <v>444</v>
      </c>
      <c r="P105" s="28"/>
      <c r="Q105" s="28"/>
      <c r="R105" s="28" t="s">
        <v>30</v>
      </c>
      <c r="S105" s="28" t="s">
        <v>25</v>
      </c>
    </row>
    <row r="106" spans="1:19" ht="15" hidden="1" customHeight="1" x14ac:dyDescent="0.2">
      <c r="A106" s="30" t="s">
        <v>7</v>
      </c>
      <c r="B106" s="31" t="s">
        <v>378</v>
      </c>
      <c r="C106" s="31" t="s">
        <v>445</v>
      </c>
      <c r="D106" s="32" t="str">
        <f t="shared" si="8"/>
        <v>Presidência</v>
      </c>
      <c r="E106" s="32" t="str">
        <f t="shared" si="9"/>
        <v>Tecnologia</v>
      </c>
      <c r="F106" s="32" t="str">
        <f t="shared" si="10"/>
        <v>Infra e Operações</v>
      </c>
      <c r="G106" s="32" t="str">
        <f t="shared" si="11"/>
        <v>BSS, OSS, Integração e Digital</v>
      </c>
      <c r="H106" s="32" t="str">
        <f t="shared" si="12"/>
        <v>Integração e Digital</v>
      </c>
      <c r="I106" s="32" t="str">
        <f t="shared" si="13"/>
        <v>Integração e Digital</v>
      </c>
      <c r="J106" s="32" t="str">
        <f t="shared" si="14"/>
        <v>Integração e Digital</v>
      </c>
      <c r="K106" s="36" t="s">
        <v>446</v>
      </c>
      <c r="L106" s="36">
        <v>186646</v>
      </c>
      <c r="M106" s="40" t="s">
        <v>447</v>
      </c>
      <c r="N106" s="33" t="s">
        <v>22</v>
      </c>
      <c r="O106" s="33" t="s">
        <v>444</v>
      </c>
      <c r="P106" s="33"/>
      <c r="Q106" s="33"/>
      <c r="R106" s="33" t="s">
        <v>35</v>
      </c>
      <c r="S106" s="33" t="s">
        <v>25</v>
      </c>
    </row>
    <row r="107" spans="1:19" ht="15" hidden="1" customHeight="1" x14ac:dyDescent="0.2">
      <c r="A107" s="30" t="s">
        <v>7</v>
      </c>
      <c r="B107" s="31" t="s">
        <v>378</v>
      </c>
      <c r="C107" s="31" t="s">
        <v>448</v>
      </c>
      <c r="D107" s="32" t="str">
        <f t="shared" si="8"/>
        <v>Presidência</v>
      </c>
      <c r="E107" s="32" t="str">
        <f t="shared" si="9"/>
        <v>Tecnologia</v>
      </c>
      <c r="F107" s="32" t="str">
        <f t="shared" si="10"/>
        <v>Infra e Operações</v>
      </c>
      <c r="G107" s="32" t="str">
        <f t="shared" si="11"/>
        <v>BSS, OSS, Integração e Digital</v>
      </c>
      <c r="H107" s="32" t="str">
        <f t="shared" si="12"/>
        <v>OSS Interprise</v>
      </c>
      <c r="I107" s="32" t="str">
        <f t="shared" si="13"/>
        <v>OSS Interprise</v>
      </c>
      <c r="J107" s="32" t="str">
        <f t="shared" si="14"/>
        <v>OSS Interprise</v>
      </c>
      <c r="K107" s="36" t="s">
        <v>449</v>
      </c>
      <c r="L107" s="36">
        <v>314121</v>
      </c>
      <c r="M107" s="40" t="s">
        <v>450</v>
      </c>
      <c r="N107" s="33" t="s">
        <v>22</v>
      </c>
      <c r="O107" s="33" t="s">
        <v>444</v>
      </c>
      <c r="P107" s="33"/>
      <c r="Q107" s="33"/>
      <c r="R107" s="33" t="s">
        <v>35</v>
      </c>
      <c r="S107" s="33" t="s">
        <v>25</v>
      </c>
    </row>
    <row r="108" spans="1:19" ht="15" hidden="1" customHeight="1" x14ac:dyDescent="0.2">
      <c r="A108" s="30" t="s">
        <v>7</v>
      </c>
      <c r="B108" s="31" t="s">
        <v>378</v>
      </c>
      <c r="C108" s="31" t="s">
        <v>451</v>
      </c>
      <c r="D108" s="32" t="str">
        <f t="shared" si="8"/>
        <v>Presidência</v>
      </c>
      <c r="E108" s="32" t="str">
        <f t="shared" si="9"/>
        <v>Tecnologia</v>
      </c>
      <c r="F108" s="32" t="str">
        <f t="shared" si="10"/>
        <v>Infra e Operações</v>
      </c>
      <c r="G108" s="32" t="str">
        <f t="shared" si="11"/>
        <v>BSS, OSS, Integração e Digital</v>
      </c>
      <c r="H108" s="32" t="str">
        <f t="shared" si="12"/>
        <v>Ciclo da Receita e Tributário</v>
      </c>
      <c r="I108" s="32" t="str">
        <f t="shared" si="13"/>
        <v>Ciclo da Receita e Tributário</v>
      </c>
      <c r="J108" s="32" t="str">
        <f t="shared" si="14"/>
        <v>Ciclo da Receita e Tributário</v>
      </c>
      <c r="K108" s="36" t="s">
        <v>452</v>
      </c>
      <c r="L108" s="36">
        <v>117439</v>
      </c>
      <c r="M108" s="40" t="s">
        <v>453</v>
      </c>
      <c r="N108" s="33" t="s">
        <v>22</v>
      </c>
      <c r="O108" s="33" t="s">
        <v>444</v>
      </c>
      <c r="P108" s="33"/>
      <c r="Q108" s="33"/>
      <c r="R108" s="33" t="s">
        <v>35</v>
      </c>
      <c r="S108" s="33" t="s">
        <v>25</v>
      </c>
    </row>
    <row r="109" spans="1:19" ht="15" hidden="1" customHeight="1" x14ac:dyDescent="0.2">
      <c r="A109" s="30" t="s">
        <v>7</v>
      </c>
      <c r="B109" s="31" t="s">
        <v>378</v>
      </c>
      <c r="C109" s="31" t="s">
        <v>454</v>
      </c>
      <c r="D109" s="32" t="str">
        <f t="shared" si="8"/>
        <v>Presidência</v>
      </c>
      <c r="E109" s="32" t="str">
        <f t="shared" si="9"/>
        <v>Tecnologia</v>
      </c>
      <c r="F109" s="32" t="str">
        <f t="shared" si="10"/>
        <v>Infra e Operações</v>
      </c>
      <c r="G109" s="32" t="str">
        <f t="shared" si="11"/>
        <v>BSS, OSS, Integração e Digital</v>
      </c>
      <c r="H109" s="32" t="str">
        <f t="shared" si="12"/>
        <v>CRM Fibra</v>
      </c>
      <c r="I109" s="32" t="str">
        <f t="shared" si="13"/>
        <v>CRM Fibra</v>
      </c>
      <c r="J109" s="32" t="str">
        <f t="shared" si="14"/>
        <v>CRM Fibra</v>
      </c>
      <c r="K109" s="36" t="s">
        <v>455</v>
      </c>
      <c r="L109" s="36">
        <v>405887</v>
      </c>
      <c r="M109" s="40" t="s">
        <v>456</v>
      </c>
      <c r="N109" s="33" t="s">
        <v>22</v>
      </c>
      <c r="O109" s="33" t="s">
        <v>457</v>
      </c>
      <c r="P109" s="33"/>
      <c r="Q109" s="33"/>
      <c r="R109" s="33" t="s">
        <v>35</v>
      </c>
      <c r="S109" s="33" t="s">
        <v>389</v>
      </c>
    </row>
    <row r="110" spans="1:19" ht="15" hidden="1" customHeight="1" x14ac:dyDescent="0.2">
      <c r="A110" s="25" t="s">
        <v>6</v>
      </c>
      <c r="B110" s="26" t="s">
        <v>378</v>
      </c>
      <c r="C110" s="26" t="s">
        <v>458</v>
      </c>
      <c r="D110" s="27" t="str">
        <f t="shared" si="8"/>
        <v>Presidência</v>
      </c>
      <c r="E110" s="27" t="str">
        <f t="shared" si="9"/>
        <v>Tecnologia</v>
      </c>
      <c r="F110" s="27" t="str">
        <f t="shared" si="10"/>
        <v>Infra e Operações</v>
      </c>
      <c r="G110" s="27" t="str">
        <f t="shared" si="11"/>
        <v>Suporte Técnico de Sistemas</v>
      </c>
      <c r="H110" s="27" t="str">
        <f t="shared" si="12"/>
        <v>Suporte Técnico de Sistemas</v>
      </c>
      <c r="I110" s="27" t="str">
        <f t="shared" si="13"/>
        <v>Suporte Técnico de Sistemas</v>
      </c>
      <c r="J110" s="27" t="str">
        <f t="shared" si="14"/>
        <v>Suporte Técnico de Sistemas</v>
      </c>
      <c r="K110" s="28" t="s">
        <v>459</v>
      </c>
      <c r="L110" s="28">
        <v>302920</v>
      </c>
      <c r="M110" s="29" t="s">
        <v>460</v>
      </c>
      <c r="N110" s="28" t="s">
        <v>22</v>
      </c>
      <c r="O110" s="28" t="s">
        <v>461</v>
      </c>
      <c r="P110" s="28"/>
      <c r="Q110" s="28"/>
      <c r="R110" s="28" t="s">
        <v>30</v>
      </c>
      <c r="S110" s="28" t="s">
        <v>25</v>
      </c>
    </row>
    <row r="111" spans="1:19" ht="15" hidden="1" customHeight="1" x14ac:dyDescent="0.2">
      <c r="A111" s="30" t="s">
        <v>7</v>
      </c>
      <c r="B111" s="31" t="s">
        <v>378</v>
      </c>
      <c r="C111" s="31" t="s">
        <v>462</v>
      </c>
      <c r="D111" s="32" t="str">
        <f t="shared" si="8"/>
        <v>Presidência</v>
      </c>
      <c r="E111" s="32" t="str">
        <f t="shared" si="9"/>
        <v>Tecnologia</v>
      </c>
      <c r="F111" s="32" t="str">
        <f t="shared" si="10"/>
        <v>Infra e Operações</v>
      </c>
      <c r="G111" s="32" t="str">
        <f t="shared" si="11"/>
        <v>Suporte Técnico de Sistemas</v>
      </c>
      <c r="H111" s="32" t="str">
        <f t="shared" si="12"/>
        <v>Sistema Operacional, Storage e Mainframe</v>
      </c>
      <c r="I111" s="32" t="str">
        <f t="shared" si="13"/>
        <v>Sistema Operacional, Storage e Mainframe</v>
      </c>
      <c r="J111" s="32" t="str">
        <f t="shared" si="14"/>
        <v>Sistema Operacional, Storage e Mainframe</v>
      </c>
      <c r="K111" s="36" t="s">
        <v>463</v>
      </c>
      <c r="L111" s="36">
        <v>303070</v>
      </c>
      <c r="M111" s="40" t="s">
        <v>464</v>
      </c>
      <c r="N111" s="33" t="s">
        <v>22</v>
      </c>
      <c r="O111" s="33" t="s">
        <v>461</v>
      </c>
      <c r="P111" s="33"/>
      <c r="Q111" s="33"/>
      <c r="R111" s="33" t="s">
        <v>35</v>
      </c>
      <c r="S111" s="33" t="s">
        <v>25</v>
      </c>
    </row>
    <row r="112" spans="1:19" ht="15" hidden="1" customHeight="1" x14ac:dyDescent="0.2">
      <c r="A112" s="30" t="s">
        <v>7</v>
      </c>
      <c r="B112" s="31" t="s">
        <v>378</v>
      </c>
      <c r="C112" s="31" t="s">
        <v>465</v>
      </c>
      <c r="D112" s="32" t="str">
        <f t="shared" si="8"/>
        <v>Presidência</v>
      </c>
      <c r="E112" s="32" t="str">
        <f t="shared" si="9"/>
        <v>Tecnologia</v>
      </c>
      <c r="F112" s="32" t="str">
        <f t="shared" si="10"/>
        <v>Infra e Operações</v>
      </c>
      <c r="G112" s="32" t="str">
        <f t="shared" si="11"/>
        <v>Suporte Técnico de Sistemas</v>
      </c>
      <c r="H112" s="32" t="str">
        <f t="shared" si="12"/>
        <v>Banco de Dados e Backup</v>
      </c>
      <c r="I112" s="32" t="str">
        <f t="shared" si="13"/>
        <v>Banco de Dados e Backup</v>
      </c>
      <c r="J112" s="32" t="str">
        <f t="shared" si="14"/>
        <v>Banco de Dados e Backup</v>
      </c>
      <c r="K112" s="36" t="s">
        <v>466</v>
      </c>
      <c r="L112" s="36">
        <v>302942</v>
      </c>
      <c r="M112" s="40" t="s">
        <v>467</v>
      </c>
      <c r="N112" s="33" t="s">
        <v>22</v>
      </c>
      <c r="O112" s="33" t="s">
        <v>461</v>
      </c>
      <c r="P112" s="33"/>
      <c r="Q112" s="33"/>
      <c r="R112" s="33" t="s">
        <v>35</v>
      </c>
      <c r="S112" s="33" t="s">
        <v>25</v>
      </c>
    </row>
    <row r="113" spans="1:19 16361:16364" ht="15" hidden="1" customHeight="1" x14ac:dyDescent="0.2">
      <c r="A113" s="30" t="s">
        <v>7</v>
      </c>
      <c r="B113" s="31" t="s">
        <v>378</v>
      </c>
      <c r="C113" s="31" t="s">
        <v>468</v>
      </c>
      <c r="D113" s="32" t="str">
        <f t="shared" si="8"/>
        <v>Presidência</v>
      </c>
      <c r="E113" s="32" t="str">
        <f t="shared" si="9"/>
        <v>Tecnologia</v>
      </c>
      <c r="F113" s="32" t="str">
        <f t="shared" si="10"/>
        <v>Infra e Operações</v>
      </c>
      <c r="G113" s="32" t="str">
        <f t="shared" si="11"/>
        <v>Suporte Técnico de Sistemas</v>
      </c>
      <c r="H113" s="32" t="str">
        <f t="shared" si="12"/>
        <v>Rede IP e Data Center</v>
      </c>
      <c r="I113" s="32" t="str">
        <f t="shared" si="13"/>
        <v>Rede IP e Data Center</v>
      </c>
      <c r="J113" s="32" t="str">
        <f t="shared" si="14"/>
        <v>Rede IP e Data Center</v>
      </c>
      <c r="K113" s="36" t="s">
        <v>469</v>
      </c>
      <c r="L113" s="36">
        <v>303640</v>
      </c>
      <c r="M113" s="40" t="s">
        <v>470</v>
      </c>
      <c r="N113" s="33" t="s">
        <v>22</v>
      </c>
      <c r="O113" s="33" t="s">
        <v>461</v>
      </c>
      <c r="P113" s="33"/>
      <c r="Q113" s="33"/>
      <c r="R113" s="33" t="s">
        <v>35</v>
      </c>
      <c r="S113" s="33" t="s">
        <v>25</v>
      </c>
    </row>
    <row r="114" spans="1:19 16361:16364" ht="15" hidden="1" customHeight="1" x14ac:dyDescent="0.2">
      <c r="A114" s="25" t="s">
        <v>6</v>
      </c>
      <c r="B114" s="26" t="s">
        <v>378</v>
      </c>
      <c r="C114" s="41" t="s">
        <v>471</v>
      </c>
      <c r="D114" s="27" t="str">
        <f t="shared" si="8"/>
        <v>Presidência</v>
      </c>
      <c r="E114" s="27" t="str">
        <f t="shared" si="9"/>
        <v>Tecnologia</v>
      </c>
      <c r="F114" s="27" t="str">
        <f t="shared" si="10"/>
        <v>Infra e Operações</v>
      </c>
      <c r="G114" s="27" t="str">
        <f t="shared" si="11"/>
        <v>Desempenho e Atentdimento de TI</v>
      </c>
      <c r="H114" s="27" t="str">
        <f t="shared" si="12"/>
        <v>Desempenho e Atentdimento de TI</v>
      </c>
      <c r="I114" s="27" t="str">
        <f t="shared" si="13"/>
        <v>Desempenho e Atentdimento de TI</v>
      </c>
      <c r="J114" s="27" t="str">
        <f t="shared" si="14"/>
        <v>Desempenho e Atentdimento de TI</v>
      </c>
      <c r="K114" s="28" t="s">
        <v>472</v>
      </c>
      <c r="L114" s="28">
        <v>403265</v>
      </c>
      <c r="M114" s="29" t="s">
        <v>473</v>
      </c>
      <c r="N114" s="28" t="s">
        <v>22</v>
      </c>
      <c r="O114" s="28" t="s">
        <v>474</v>
      </c>
      <c r="P114" s="28"/>
      <c r="Q114" s="28"/>
      <c r="R114" s="28" t="s">
        <v>30</v>
      </c>
      <c r="S114" s="28" t="s">
        <v>25</v>
      </c>
    </row>
    <row r="115" spans="1:19 16361:16364" ht="15" hidden="1" customHeight="1" x14ac:dyDescent="0.2">
      <c r="A115" s="30" t="s">
        <v>7</v>
      </c>
      <c r="B115" s="31" t="s">
        <v>378</v>
      </c>
      <c r="C115" s="31" t="s">
        <v>475</v>
      </c>
      <c r="D115" s="32" t="str">
        <f t="shared" si="8"/>
        <v>Presidência</v>
      </c>
      <c r="E115" s="32" t="str">
        <f t="shared" si="9"/>
        <v>Tecnologia</v>
      </c>
      <c r="F115" s="32" t="str">
        <f t="shared" si="10"/>
        <v>Infra e Operações</v>
      </c>
      <c r="G115" s="32" t="str">
        <f t="shared" si="11"/>
        <v>Desempenho e Atentdimento de TI</v>
      </c>
      <c r="H115" s="32" t="str">
        <f t="shared" si="12"/>
        <v>Eficiência Tecnologia e MicroInformática</v>
      </c>
      <c r="I115" s="32" t="str">
        <f t="shared" si="13"/>
        <v>Eficiência Tecnologia e MicroInformática</v>
      </c>
      <c r="J115" s="32" t="str">
        <f t="shared" si="14"/>
        <v>Eficiência Tecnologia e MicroInformática</v>
      </c>
      <c r="K115" s="36" t="s">
        <v>476</v>
      </c>
      <c r="L115" s="36">
        <v>172552</v>
      </c>
      <c r="M115" s="40" t="s">
        <v>477</v>
      </c>
      <c r="N115" s="33" t="s">
        <v>22</v>
      </c>
      <c r="O115" s="33" t="s">
        <v>474</v>
      </c>
      <c r="P115" s="33"/>
      <c r="Q115" s="33"/>
      <c r="R115" s="33" t="s">
        <v>35</v>
      </c>
      <c r="S115" s="33" t="s">
        <v>25</v>
      </c>
    </row>
    <row r="116" spans="1:19 16361:16364" ht="15" hidden="1" customHeight="1" x14ac:dyDescent="0.2">
      <c r="A116" s="30" t="s">
        <v>7</v>
      </c>
      <c r="B116" s="31" t="s">
        <v>378</v>
      </c>
      <c r="C116" s="31" t="s">
        <v>478</v>
      </c>
      <c r="D116" s="32" t="str">
        <f t="shared" si="8"/>
        <v>Presidência</v>
      </c>
      <c r="E116" s="32" t="str">
        <f t="shared" si="9"/>
        <v>Tecnologia</v>
      </c>
      <c r="F116" s="32" t="str">
        <f t="shared" si="10"/>
        <v>Infra e Operações</v>
      </c>
      <c r="G116" s="32" t="str">
        <f t="shared" si="11"/>
        <v>Desempenho e Atentdimento de TI</v>
      </c>
      <c r="H116" s="32" t="str">
        <f t="shared" si="12"/>
        <v>Release e Serviços de TI</v>
      </c>
      <c r="I116" s="32" t="str">
        <f t="shared" si="13"/>
        <v>Release e Serviços de TI</v>
      </c>
      <c r="J116" s="32" t="str">
        <f t="shared" si="14"/>
        <v>Release e Serviços de TI</v>
      </c>
      <c r="K116" s="36" t="s">
        <v>479</v>
      </c>
      <c r="L116" s="36">
        <v>344251</v>
      </c>
      <c r="M116" s="40" t="s">
        <v>480</v>
      </c>
      <c r="N116" s="33" t="s">
        <v>22</v>
      </c>
      <c r="O116" s="33" t="s">
        <v>474</v>
      </c>
      <c r="P116" s="33"/>
      <c r="Q116" s="33"/>
      <c r="R116" s="33" t="s">
        <v>35</v>
      </c>
      <c r="S116" s="33" t="s">
        <v>25</v>
      </c>
    </row>
    <row r="117" spans="1:19 16361:16364" ht="15" hidden="1" customHeight="1" x14ac:dyDescent="0.2">
      <c r="A117" s="25" t="s">
        <v>6</v>
      </c>
      <c r="B117" s="26" t="s">
        <v>378</v>
      </c>
      <c r="C117" s="26" t="s">
        <v>481</v>
      </c>
      <c r="D117" s="27" t="str">
        <f t="shared" si="8"/>
        <v>Presidência</v>
      </c>
      <c r="E117" s="27" t="str">
        <f t="shared" si="9"/>
        <v>Tecnologia</v>
      </c>
      <c r="F117" s="27" t="str">
        <f t="shared" si="10"/>
        <v>Infra e Operações</v>
      </c>
      <c r="G117" s="27" t="str">
        <f t="shared" si="11"/>
        <v>Devops</v>
      </c>
      <c r="H117" s="27" t="str">
        <f t="shared" si="12"/>
        <v>Devops</v>
      </c>
      <c r="I117" s="27" t="str">
        <f t="shared" si="13"/>
        <v>Devops</v>
      </c>
      <c r="J117" s="27" t="str">
        <f t="shared" si="14"/>
        <v>Devops</v>
      </c>
      <c r="K117" s="28" t="s">
        <v>482</v>
      </c>
      <c r="L117" s="28">
        <v>418564</v>
      </c>
      <c r="M117" s="38" t="s">
        <v>483</v>
      </c>
      <c r="N117" s="28" t="s">
        <v>381</v>
      </c>
      <c r="O117" s="28" t="s">
        <v>484</v>
      </c>
      <c r="P117" s="28"/>
      <c r="Q117" s="28" t="s">
        <v>485</v>
      </c>
      <c r="R117" s="28" t="s">
        <v>35</v>
      </c>
      <c r="S117" s="28" t="s">
        <v>25</v>
      </c>
    </row>
    <row r="118" spans="1:19 16361:16364" ht="15" hidden="1" customHeight="1" x14ac:dyDescent="0.2">
      <c r="A118" s="14" t="s">
        <v>5</v>
      </c>
      <c r="B118" s="15" t="s">
        <v>378</v>
      </c>
      <c r="C118" s="15" t="s">
        <v>486</v>
      </c>
      <c r="D118" s="16" t="str">
        <f t="shared" si="8"/>
        <v>Presidência</v>
      </c>
      <c r="E118" s="16" t="str">
        <f t="shared" si="9"/>
        <v>Tecnologia</v>
      </c>
      <c r="F118" s="16" t="str">
        <f t="shared" si="10"/>
        <v>Data Analytics e Governança</v>
      </c>
      <c r="G118" s="16" t="str">
        <f t="shared" si="11"/>
        <v>Data Analytics e Governança</v>
      </c>
      <c r="H118" s="16" t="str">
        <f t="shared" si="12"/>
        <v>Data Analytics e Governança</v>
      </c>
      <c r="I118" s="16" t="str">
        <f t="shared" si="13"/>
        <v>Data Analytics e Governança</v>
      </c>
      <c r="J118" s="16" t="str">
        <f t="shared" si="14"/>
        <v>Data Analytics e Governança</v>
      </c>
      <c r="K118" s="17" t="s">
        <v>487</v>
      </c>
      <c r="L118" s="17">
        <v>417593</v>
      </c>
      <c r="M118" s="18" t="s">
        <v>488</v>
      </c>
      <c r="N118" s="17" t="s">
        <v>381</v>
      </c>
      <c r="O118" s="17" t="s">
        <v>489</v>
      </c>
      <c r="P118" s="17"/>
      <c r="Q118" s="17" t="s">
        <v>490</v>
      </c>
      <c r="R118" s="17" t="s">
        <v>30</v>
      </c>
      <c r="S118" s="17" t="s">
        <v>25</v>
      </c>
    </row>
    <row r="119" spans="1:19 16361:16364" ht="15" hidden="1" customHeight="1" collapsed="1" x14ac:dyDescent="0.2">
      <c r="A119" s="25" t="s">
        <v>6</v>
      </c>
      <c r="B119" s="26" t="s">
        <v>378</v>
      </c>
      <c r="C119" s="26" t="s">
        <v>491</v>
      </c>
      <c r="D119" s="27" t="str">
        <f t="shared" si="8"/>
        <v>Presidência</v>
      </c>
      <c r="E119" s="27" t="str">
        <f t="shared" si="9"/>
        <v>Tecnologia</v>
      </c>
      <c r="F119" s="27" t="str">
        <f t="shared" si="10"/>
        <v>Data Analytics e Governança</v>
      </c>
      <c r="G119" s="27" t="str">
        <f t="shared" si="11"/>
        <v>Aquisição de Dados e Design da Informação</v>
      </c>
      <c r="H119" s="27" t="str">
        <f t="shared" si="12"/>
        <v>Aquisição de Dados e Design da Informação</v>
      </c>
      <c r="I119" s="27" t="str">
        <f t="shared" si="13"/>
        <v>Aquisição de Dados e Design da Informação</v>
      </c>
      <c r="J119" s="27" t="str">
        <f t="shared" si="14"/>
        <v>Aquisição de Dados e Design da Informação</v>
      </c>
      <c r="K119" s="28" t="s">
        <v>492</v>
      </c>
      <c r="L119" s="28">
        <v>116729</v>
      </c>
      <c r="M119" s="29" t="s">
        <v>493</v>
      </c>
      <c r="N119" s="28" t="s">
        <v>381</v>
      </c>
      <c r="O119" s="28" t="s">
        <v>494</v>
      </c>
      <c r="P119" s="28"/>
      <c r="Q119" s="28" t="s">
        <v>490</v>
      </c>
      <c r="R119" s="28" t="s">
        <v>35</v>
      </c>
      <c r="S119" s="28" t="s">
        <v>25</v>
      </c>
    </row>
    <row r="120" spans="1:19 16361:16364" ht="15" hidden="1" customHeight="1" x14ac:dyDescent="0.2">
      <c r="A120" s="25" t="s">
        <v>6</v>
      </c>
      <c r="B120" s="26" t="s">
        <v>378</v>
      </c>
      <c r="C120" s="26" t="s">
        <v>495</v>
      </c>
      <c r="D120" s="27" t="str">
        <f t="shared" si="8"/>
        <v>Presidência</v>
      </c>
      <c r="E120" s="27" t="str">
        <f t="shared" si="9"/>
        <v>Tecnologia</v>
      </c>
      <c r="F120" s="27" t="str">
        <f t="shared" si="10"/>
        <v>Data Analytics e Governança</v>
      </c>
      <c r="G120" s="27" t="str">
        <f t="shared" si="11"/>
        <v>Inteligência Analítica e Insights</v>
      </c>
      <c r="H120" s="27" t="str">
        <f t="shared" si="12"/>
        <v>Inteligência Analítica e Insights</v>
      </c>
      <c r="I120" s="27" t="str">
        <f t="shared" si="13"/>
        <v>Inteligência Analítica e Insights</v>
      </c>
      <c r="J120" s="27" t="str">
        <f t="shared" si="14"/>
        <v>Inteligência Analítica e Insights</v>
      </c>
      <c r="K120" s="28" t="s">
        <v>496</v>
      </c>
      <c r="L120" s="28">
        <v>269189</v>
      </c>
      <c r="M120" s="29" t="s">
        <v>497</v>
      </c>
      <c r="N120" s="28" t="s">
        <v>22</v>
      </c>
      <c r="O120" s="28" t="s">
        <v>498</v>
      </c>
      <c r="P120" s="28"/>
      <c r="Q120" s="28"/>
      <c r="R120" s="28" t="s">
        <v>35</v>
      </c>
      <c r="S120" s="28" t="s">
        <v>25</v>
      </c>
    </row>
    <row r="121" spans="1:19 16361:16364" ht="15" hidden="1" customHeight="1" x14ac:dyDescent="0.2">
      <c r="A121" s="25" t="s">
        <v>6</v>
      </c>
      <c r="B121" s="26" t="s">
        <v>378</v>
      </c>
      <c r="C121" s="26" t="s">
        <v>499</v>
      </c>
      <c r="D121" s="27" t="str">
        <f t="shared" si="8"/>
        <v>Presidência</v>
      </c>
      <c r="E121" s="27" t="str">
        <f t="shared" si="9"/>
        <v>Tecnologia</v>
      </c>
      <c r="F121" s="27" t="str">
        <f t="shared" si="10"/>
        <v>Data Analytics e Governança</v>
      </c>
      <c r="G121" s="27" t="str">
        <f t="shared" si="11"/>
        <v>Qualidade Analítica</v>
      </c>
      <c r="H121" s="27" t="str">
        <f t="shared" si="12"/>
        <v>Qualidade Analítica</v>
      </c>
      <c r="I121" s="27" t="str">
        <f t="shared" si="13"/>
        <v>Qualidade Analítica</v>
      </c>
      <c r="J121" s="27" t="str">
        <f t="shared" si="14"/>
        <v>Qualidade Analítica</v>
      </c>
      <c r="K121" s="28" t="s">
        <v>500</v>
      </c>
      <c r="L121" s="28">
        <v>308393</v>
      </c>
      <c r="M121" s="29" t="s">
        <v>501</v>
      </c>
      <c r="N121" s="28" t="s">
        <v>22</v>
      </c>
      <c r="O121" s="28" t="s">
        <v>502</v>
      </c>
      <c r="P121" s="28"/>
      <c r="Q121" s="28"/>
      <c r="R121" s="28" t="s">
        <v>35</v>
      </c>
      <c r="S121" s="28" t="s">
        <v>25</v>
      </c>
    </row>
    <row r="122" spans="1:19 16361:16364" s="50" customFormat="1" ht="15" customHeight="1" x14ac:dyDescent="0.2">
      <c r="A122" s="9" t="s">
        <v>4</v>
      </c>
      <c r="B122" s="10" t="s">
        <v>503</v>
      </c>
      <c r="C122" s="10" t="s">
        <v>503</v>
      </c>
      <c r="D122" s="11" t="str">
        <f t="shared" si="8"/>
        <v>Presidência</v>
      </c>
      <c r="E122" s="11" t="str">
        <f t="shared" si="9"/>
        <v>Oi Soluções</v>
      </c>
      <c r="F122" s="11" t="str">
        <f t="shared" si="10"/>
        <v>Oi Soluções</v>
      </c>
      <c r="G122" s="11" t="str">
        <f t="shared" si="11"/>
        <v>Oi Soluções</v>
      </c>
      <c r="H122" s="11" t="str">
        <f t="shared" si="12"/>
        <v>Oi Soluções</v>
      </c>
      <c r="I122" s="11" t="str">
        <f t="shared" si="13"/>
        <v>Oi Soluções</v>
      </c>
      <c r="J122" s="11" t="str">
        <f t="shared" si="14"/>
        <v>Oi Soluções</v>
      </c>
      <c r="K122" s="12" t="s">
        <v>504</v>
      </c>
      <c r="L122" s="12">
        <v>64555</v>
      </c>
      <c r="M122" s="13" t="s">
        <v>505</v>
      </c>
      <c r="N122" s="12" t="s">
        <v>22</v>
      </c>
      <c r="O122" s="12" t="s">
        <v>506</v>
      </c>
      <c r="P122" s="12"/>
      <c r="Q122" s="12"/>
      <c r="R122" s="12" t="s">
        <v>30</v>
      </c>
      <c r="S122" s="12" t="s">
        <v>503</v>
      </c>
    </row>
    <row r="123" spans="1:19 16361:16364" ht="15" hidden="1" customHeight="1" x14ac:dyDescent="0.2">
      <c r="A123" s="14" t="s">
        <v>5</v>
      </c>
      <c r="B123" s="15" t="s">
        <v>503</v>
      </c>
      <c r="C123" s="15" t="s">
        <v>507</v>
      </c>
      <c r="D123" s="16" t="str">
        <f t="shared" si="8"/>
        <v>Presidência</v>
      </c>
      <c r="E123" s="16" t="str">
        <f t="shared" si="9"/>
        <v>Oi Soluções</v>
      </c>
      <c r="F123" s="16" t="str">
        <f t="shared" si="10"/>
        <v>Planejamento e Desempenho Oi Soluções</v>
      </c>
      <c r="G123" s="16" t="str">
        <f t="shared" si="11"/>
        <v>Planejamento e Desempenho Oi Soluções</v>
      </c>
      <c r="H123" s="16" t="str">
        <f t="shared" si="12"/>
        <v>Planejamento e Desempenho Oi Soluções</v>
      </c>
      <c r="I123" s="16" t="str">
        <f t="shared" si="13"/>
        <v>Planejamento e Desempenho Oi Soluções</v>
      </c>
      <c r="J123" s="16" t="str">
        <f t="shared" si="14"/>
        <v>Planejamento e Desempenho Oi Soluções</v>
      </c>
      <c r="K123" s="17" t="s">
        <v>508</v>
      </c>
      <c r="L123" s="17"/>
      <c r="M123" s="24" t="s">
        <v>66</v>
      </c>
      <c r="N123" s="17" t="s">
        <v>22</v>
      </c>
      <c r="O123" s="17" t="s">
        <v>509</v>
      </c>
      <c r="P123" s="17"/>
      <c r="Q123" s="17"/>
      <c r="R123" s="17" t="s">
        <v>30</v>
      </c>
      <c r="S123" s="17" t="s">
        <v>503</v>
      </c>
    </row>
    <row r="124" spans="1:19 16361:16364" ht="15" hidden="1" customHeight="1" x14ac:dyDescent="0.2">
      <c r="A124" s="25" t="s">
        <v>6</v>
      </c>
      <c r="B124" s="26" t="s">
        <v>503</v>
      </c>
      <c r="C124" s="26" t="s">
        <v>510</v>
      </c>
      <c r="D124" s="27" t="str">
        <f t="shared" si="8"/>
        <v>Presidência</v>
      </c>
      <c r="E124" s="27" t="str">
        <f t="shared" si="9"/>
        <v>Oi Soluções</v>
      </c>
      <c r="F124" s="27" t="str">
        <f t="shared" si="10"/>
        <v>Planejamento e Desempenho Oi Soluções</v>
      </c>
      <c r="G124" s="27" t="str">
        <f t="shared" si="11"/>
        <v>Planejamento Competitivo e Suporte</v>
      </c>
      <c r="H124" s="27" t="str">
        <f t="shared" si="12"/>
        <v>Planejamento Competitivo e Suporte</v>
      </c>
      <c r="I124" s="27" t="str">
        <f t="shared" si="13"/>
        <v>Planejamento Competitivo e Suporte</v>
      </c>
      <c r="J124" s="27" t="str">
        <f t="shared" si="14"/>
        <v>Planejamento Competitivo e Suporte</v>
      </c>
      <c r="K124" s="28" t="s">
        <v>511</v>
      </c>
      <c r="L124" s="28">
        <v>41976</v>
      </c>
      <c r="M124" s="29" t="s">
        <v>512</v>
      </c>
      <c r="N124" s="28" t="s">
        <v>22</v>
      </c>
      <c r="O124" s="28" t="s">
        <v>513</v>
      </c>
      <c r="P124" s="28"/>
      <c r="Q124" s="28"/>
      <c r="R124" s="28" t="s">
        <v>35</v>
      </c>
      <c r="S124" s="28" t="s">
        <v>503</v>
      </c>
    </row>
    <row r="125" spans="1:19 16361:16364" ht="15" hidden="1" customHeight="1" x14ac:dyDescent="0.2">
      <c r="A125" s="25" t="s">
        <v>6</v>
      </c>
      <c r="B125" s="26" t="s">
        <v>503</v>
      </c>
      <c r="C125" s="26" t="s">
        <v>514</v>
      </c>
      <c r="D125" s="27" t="str">
        <f t="shared" si="8"/>
        <v>Presidência</v>
      </c>
      <c r="E125" s="27" t="str">
        <f t="shared" si="9"/>
        <v>Oi Soluções</v>
      </c>
      <c r="F125" s="27" t="str">
        <f t="shared" si="10"/>
        <v>Planejamento e Desempenho Oi Soluções</v>
      </c>
      <c r="G125" s="27" t="str">
        <f t="shared" si="11"/>
        <v>Desempenho do Negócio</v>
      </c>
      <c r="H125" s="27" t="str">
        <f t="shared" si="12"/>
        <v>Desempenho do Negócio</v>
      </c>
      <c r="I125" s="27" t="str">
        <f t="shared" si="13"/>
        <v>Desempenho do Negócio</v>
      </c>
      <c r="J125" s="27" t="str">
        <f t="shared" si="14"/>
        <v>Desempenho do Negócio</v>
      </c>
      <c r="K125" s="28" t="s">
        <v>515</v>
      </c>
      <c r="L125" s="28">
        <v>196077</v>
      </c>
      <c r="M125" s="29" t="s">
        <v>516</v>
      </c>
      <c r="N125" s="28" t="s">
        <v>22</v>
      </c>
      <c r="O125" s="28" t="s">
        <v>517</v>
      </c>
      <c r="P125" s="28"/>
      <c r="Q125" s="28"/>
      <c r="R125" s="28" t="s">
        <v>35</v>
      </c>
      <c r="S125" s="28" t="s">
        <v>503</v>
      </c>
    </row>
    <row r="126" spans="1:19 16361:16364" ht="15" hidden="1" customHeight="1" x14ac:dyDescent="0.2">
      <c r="A126" s="25" t="s">
        <v>6</v>
      </c>
      <c r="B126" s="26" t="s">
        <v>503</v>
      </c>
      <c r="C126" s="26" t="s">
        <v>518</v>
      </c>
      <c r="D126" s="27" t="str">
        <f t="shared" si="8"/>
        <v>Presidência</v>
      </c>
      <c r="E126" s="27" t="str">
        <f t="shared" si="9"/>
        <v>Oi Soluções</v>
      </c>
      <c r="F126" s="27" t="str">
        <f t="shared" si="10"/>
        <v>Planejamento e Desempenho Oi Soluções</v>
      </c>
      <c r="G126" s="27" t="str">
        <f t="shared" si="11"/>
        <v>Desempenho Comercial Oi Soluções</v>
      </c>
      <c r="H126" s="27" t="str">
        <f t="shared" si="12"/>
        <v>Desempenho Comercial Oi Soluções</v>
      </c>
      <c r="I126" s="27" t="str">
        <f t="shared" si="13"/>
        <v>Desempenho Comercial Oi Soluções</v>
      </c>
      <c r="J126" s="27" t="str">
        <f t="shared" si="14"/>
        <v>Desempenho Comercial Oi Soluções</v>
      </c>
      <c r="K126" s="28" t="s">
        <v>519</v>
      </c>
      <c r="L126" s="28">
        <v>165737</v>
      </c>
      <c r="M126" s="29" t="s">
        <v>520</v>
      </c>
      <c r="N126" s="28" t="s">
        <v>22</v>
      </c>
      <c r="O126" s="28" t="s">
        <v>521</v>
      </c>
      <c r="P126" s="28"/>
      <c r="Q126" s="28"/>
      <c r="R126" s="28" t="s">
        <v>35</v>
      </c>
      <c r="S126" s="28" t="s">
        <v>503</v>
      </c>
    </row>
    <row r="127" spans="1:19 16361:16364" ht="15" hidden="1" customHeight="1" x14ac:dyDescent="0.2">
      <c r="A127" s="25" t="s">
        <v>6</v>
      </c>
      <c r="B127" s="26" t="s">
        <v>503</v>
      </c>
      <c r="C127" s="26" t="s">
        <v>522</v>
      </c>
      <c r="D127" s="27" t="str">
        <f t="shared" si="8"/>
        <v>Presidência</v>
      </c>
      <c r="E127" s="27" t="str">
        <f t="shared" si="9"/>
        <v>Oi Soluções</v>
      </c>
      <c r="F127" s="27" t="str">
        <f t="shared" si="10"/>
        <v>Planejamento e Desempenho Oi Soluções</v>
      </c>
      <c r="G127" s="27" t="str">
        <f t="shared" si="11"/>
        <v>Inteligência Mercado e Governança</v>
      </c>
      <c r="H127" s="27" t="str">
        <f t="shared" si="12"/>
        <v>Inteligência Mercado e Governança</v>
      </c>
      <c r="I127" s="27" t="str">
        <f t="shared" si="13"/>
        <v>Inteligência Mercado e Governança</v>
      </c>
      <c r="J127" s="27" t="str">
        <f t="shared" si="14"/>
        <v>Inteligência Mercado e Governança</v>
      </c>
      <c r="K127" s="28" t="s">
        <v>523</v>
      </c>
      <c r="L127" s="28">
        <v>341047</v>
      </c>
      <c r="M127" s="29" t="s">
        <v>524</v>
      </c>
      <c r="N127" s="28" t="s">
        <v>22</v>
      </c>
      <c r="O127" s="28" t="s">
        <v>525</v>
      </c>
      <c r="P127" s="28"/>
      <c r="Q127" s="28"/>
      <c r="R127" s="28" t="s">
        <v>35</v>
      </c>
      <c r="S127" s="28" t="s">
        <v>503</v>
      </c>
    </row>
    <row r="128" spans="1:19 16361:16364" ht="15" hidden="1" customHeight="1" x14ac:dyDescent="0.2">
      <c r="A128" s="14" t="s">
        <v>5</v>
      </c>
      <c r="B128" s="15" t="s">
        <v>503</v>
      </c>
      <c r="C128" s="15" t="s">
        <v>526</v>
      </c>
      <c r="D128" s="16" t="str">
        <f t="shared" si="8"/>
        <v>Presidência</v>
      </c>
      <c r="E128" s="16" t="str">
        <f t="shared" si="9"/>
        <v>Oi Soluções</v>
      </c>
      <c r="F128" s="16" t="str">
        <f t="shared" si="10"/>
        <v>Produtos e Arquitetura de Soluções</v>
      </c>
      <c r="G128" s="16" t="str">
        <f t="shared" si="11"/>
        <v>Produtos e Arquitetura de Soluções</v>
      </c>
      <c r="H128" s="16" t="str">
        <f t="shared" si="12"/>
        <v>Produtos e Arquitetura de Soluções</v>
      </c>
      <c r="I128" s="16" t="str">
        <f t="shared" si="13"/>
        <v>Produtos e Arquitetura de Soluções</v>
      </c>
      <c r="J128" s="16" t="str">
        <f t="shared" si="14"/>
        <v>Produtos e Arquitetura de Soluções</v>
      </c>
      <c r="K128" s="17" t="s">
        <v>527</v>
      </c>
      <c r="L128" s="17">
        <v>163023</v>
      </c>
      <c r="M128" s="75" t="s">
        <v>528</v>
      </c>
      <c r="N128" s="17" t="s">
        <v>22</v>
      </c>
      <c r="O128" s="17" t="s">
        <v>529</v>
      </c>
      <c r="P128" s="17"/>
      <c r="Q128" s="17"/>
      <c r="R128" s="17" t="s">
        <v>30</v>
      </c>
      <c r="S128" s="17" t="s">
        <v>503</v>
      </c>
      <c r="XEG128" s="51"/>
      <c r="XEH128" s="14"/>
      <c r="XEI128" s="15"/>
      <c r="XEJ128" s="15"/>
    </row>
    <row r="129" spans="1:19 16361:16364" ht="15" hidden="1" customHeight="1" x14ac:dyDescent="0.2">
      <c r="A129" s="25" t="s">
        <v>6</v>
      </c>
      <c r="B129" s="26" t="s">
        <v>503</v>
      </c>
      <c r="C129" s="26" t="s">
        <v>530</v>
      </c>
      <c r="D129" s="27" t="str">
        <f t="shared" si="8"/>
        <v>Presidência</v>
      </c>
      <c r="E129" s="27" t="str">
        <f t="shared" si="9"/>
        <v>Oi Soluções</v>
      </c>
      <c r="F129" s="27" t="str">
        <f t="shared" si="10"/>
        <v>Produtos e Arquitetura de Soluções</v>
      </c>
      <c r="G129" s="27" t="str">
        <f t="shared" si="11"/>
        <v>Licitação</v>
      </c>
      <c r="H129" s="27" t="str">
        <f t="shared" si="12"/>
        <v>Licitação</v>
      </c>
      <c r="I129" s="27" t="str">
        <f t="shared" si="13"/>
        <v>Licitação</v>
      </c>
      <c r="J129" s="27" t="str">
        <f t="shared" si="14"/>
        <v>Licitação</v>
      </c>
      <c r="K129" s="28" t="s">
        <v>531</v>
      </c>
      <c r="L129" s="28">
        <v>41447</v>
      </c>
      <c r="M129" s="29" t="s">
        <v>532</v>
      </c>
      <c r="N129" s="28" t="s">
        <v>22</v>
      </c>
      <c r="O129" s="28" t="s">
        <v>533</v>
      </c>
      <c r="P129" s="28"/>
      <c r="Q129" s="28"/>
      <c r="R129" s="28" t="s">
        <v>35</v>
      </c>
      <c r="S129" s="28" t="s">
        <v>503</v>
      </c>
    </row>
    <row r="130" spans="1:19 16361:16364" ht="15" hidden="1" customHeight="1" x14ac:dyDescent="0.2">
      <c r="A130" s="25" t="s">
        <v>6</v>
      </c>
      <c r="B130" s="26" t="s">
        <v>503</v>
      </c>
      <c r="C130" s="26" t="s">
        <v>534</v>
      </c>
      <c r="D130" s="27" t="str">
        <f t="shared" si="8"/>
        <v>Presidência</v>
      </c>
      <c r="E130" s="27" t="str">
        <f t="shared" si="9"/>
        <v>Oi Soluções</v>
      </c>
      <c r="F130" s="27" t="str">
        <f t="shared" si="10"/>
        <v>Produtos e Arquitetura de Soluções</v>
      </c>
      <c r="G130" s="27" t="str">
        <f t="shared" si="11"/>
        <v>Transição e Otimização de Custos de Projetos</v>
      </c>
      <c r="H130" s="27" t="str">
        <f t="shared" si="12"/>
        <v>Transição e Otimização de Custos de Projetos</v>
      </c>
      <c r="I130" s="27" t="str">
        <f t="shared" si="13"/>
        <v>Transição e Otimização de Custos de Projetos</v>
      </c>
      <c r="J130" s="27" t="str">
        <f t="shared" si="14"/>
        <v>Transição e Otimização de Custos de Projetos</v>
      </c>
      <c r="K130" s="28" t="s">
        <v>535</v>
      </c>
      <c r="L130" s="28">
        <v>274385</v>
      </c>
      <c r="M130" s="29" t="s">
        <v>536</v>
      </c>
      <c r="N130" s="28" t="s">
        <v>22</v>
      </c>
      <c r="O130" s="28" t="s">
        <v>537</v>
      </c>
      <c r="P130" s="28"/>
      <c r="Q130" s="28"/>
      <c r="R130" s="28" t="s">
        <v>35</v>
      </c>
      <c r="S130" s="28" t="s">
        <v>503</v>
      </c>
    </row>
    <row r="131" spans="1:19 16361:16364" ht="15" hidden="1" customHeight="1" x14ac:dyDescent="0.2">
      <c r="A131" s="25" t="s">
        <v>6</v>
      </c>
      <c r="B131" s="26" t="s">
        <v>503</v>
      </c>
      <c r="C131" s="26" t="s">
        <v>538</v>
      </c>
      <c r="D131" s="27" t="str">
        <f t="shared" ref="D131:D194" si="15">IF($A131=D$1,$C131,IF(TEXT(RIGHT($A131,1),0)&lt;TEXT(RIGHT(D$1,1),0),C131,D130))</f>
        <v>Presidência</v>
      </c>
      <c r="E131" s="27" t="str">
        <f t="shared" ref="E131:E194" si="16">IF($A131=E$1,$C131,IF(TEXT(RIGHT($A131,1),0)&lt;TEXT(RIGHT(E$1,1),0),D131,E130))</f>
        <v>Oi Soluções</v>
      </c>
      <c r="F131" s="27" t="str">
        <f t="shared" ref="F131:F194" si="17">IF($A131=F$1,$C131,IF(TEXT(RIGHT($A131,1),0)&lt;TEXT(RIGHT(F$1,1),0),E131,F130))</f>
        <v>Produtos e Arquitetura de Soluções</v>
      </c>
      <c r="G131" s="27" t="str">
        <f t="shared" ref="G131:G194" si="18">IF($A131=G$1,$C131,IF(TEXT(RIGHT($A131,1),0)&lt;TEXT(RIGHT(G$1,1),0),F131,G130))</f>
        <v>LoB1 - UC&amp;C e Segurança</v>
      </c>
      <c r="H131" s="27" t="str">
        <f t="shared" ref="H131:H194" si="19">IF($A131=H$1,$C131,IF(TEXT(RIGHT($A131,1),0)&lt;TEXT(RIGHT(H$1,1),0),G131,H130))</f>
        <v>LoB1 - UC&amp;C e Segurança</v>
      </c>
      <c r="I131" s="27" t="str">
        <f t="shared" ref="I131:I194" si="20">IF($A131=I$1,$C131,IF(TEXT(RIGHT($A131,1),0)&lt;TEXT(RIGHT(I$1,1),0),H131,I130))</f>
        <v>LoB1 - UC&amp;C e Segurança</v>
      </c>
      <c r="J131" s="27" t="str">
        <f t="shared" ref="J131:J194" si="21">IF($A131=J$1,$C131,IF(TEXT(RIGHT($A131,1),0)&lt;TEXT(RIGHT(J$1,1),0),I131,J130))</f>
        <v>LoB1 - UC&amp;C e Segurança</v>
      </c>
      <c r="K131" s="28" t="s">
        <v>539</v>
      </c>
      <c r="L131" s="28">
        <v>302509</v>
      </c>
      <c r="M131" s="29" t="s">
        <v>540</v>
      </c>
      <c r="N131" s="28" t="s">
        <v>22</v>
      </c>
      <c r="O131" s="28" t="s">
        <v>541</v>
      </c>
      <c r="P131" s="28"/>
      <c r="Q131" s="28"/>
      <c r="R131" s="28" t="s">
        <v>30</v>
      </c>
      <c r="S131" s="28" t="s">
        <v>503</v>
      </c>
    </row>
    <row r="132" spans="1:19 16361:16364" ht="15" hidden="1" customHeight="1" x14ac:dyDescent="0.2">
      <c r="A132" s="52" t="s">
        <v>7</v>
      </c>
      <c r="B132" s="53" t="s">
        <v>503</v>
      </c>
      <c r="C132" s="53" t="s">
        <v>542</v>
      </c>
      <c r="D132" s="54" t="str">
        <f t="shared" si="15"/>
        <v>Presidência</v>
      </c>
      <c r="E132" s="54" t="str">
        <f t="shared" si="16"/>
        <v>Oi Soluções</v>
      </c>
      <c r="F132" s="54" t="str">
        <f t="shared" si="17"/>
        <v>Produtos e Arquitetura de Soluções</v>
      </c>
      <c r="G132" s="54" t="str">
        <f t="shared" si="18"/>
        <v>LoB1 - UC&amp;C e Segurança</v>
      </c>
      <c r="H132" s="54" t="str">
        <f t="shared" si="19"/>
        <v>Arquitetura e Marketing Produtos UC&amp;C</v>
      </c>
      <c r="I132" s="54" t="str">
        <f t="shared" si="20"/>
        <v>Arquitetura e Marketing Produtos UC&amp;C</v>
      </c>
      <c r="J132" s="54" t="str">
        <f t="shared" si="21"/>
        <v>Arquitetura e Marketing Produtos UC&amp;C</v>
      </c>
      <c r="K132" s="55" t="s">
        <v>543</v>
      </c>
      <c r="L132" s="44">
        <v>303342</v>
      </c>
      <c r="M132" s="44" t="s">
        <v>544</v>
      </c>
      <c r="N132" s="55" t="s">
        <v>22</v>
      </c>
      <c r="O132" s="55" t="s">
        <v>541</v>
      </c>
      <c r="P132" s="55"/>
      <c r="Q132" s="55"/>
      <c r="R132" s="55" t="s">
        <v>35</v>
      </c>
      <c r="S132" s="55" t="s">
        <v>503</v>
      </c>
      <c r="XEG132" s="51"/>
      <c r="XEH132" s="52"/>
      <c r="XEI132" s="53"/>
      <c r="XEJ132" s="53"/>
    </row>
    <row r="133" spans="1:19 16361:16364" ht="15" hidden="1" customHeight="1" x14ac:dyDescent="0.2">
      <c r="A133" s="52" t="s">
        <v>7</v>
      </c>
      <c r="B133" s="53" t="s">
        <v>503</v>
      </c>
      <c r="C133" s="53" t="s">
        <v>545</v>
      </c>
      <c r="D133" s="54" t="str">
        <f t="shared" si="15"/>
        <v>Presidência</v>
      </c>
      <c r="E133" s="54" t="str">
        <f t="shared" si="16"/>
        <v>Oi Soluções</v>
      </c>
      <c r="F133" s="54" t="str">
        <f t="shared" si="17"/>
        <v>Produtos e Arquitetura de Soluções</v>
      </c>
      <c r="G133" s="54" t="str">
        <f t="shared" si="18"/>
        <v>LoB1 - UC&amp;C e Segurança</v>
      </c>
      <c r="H133" s="54" t="str">
        <f t="shared" si="19"/>
        <v>Arquitetura e Marketing Produtos Segurança</v>
      </c>
      <c r="I133" s="54" t="str">
        <f t="shared" si="20"/>
        <v>Arquitetura e Marketing Produtos Segurança</v>
      </c>
      <c r="J133" s="54" t="str">
        <f t="shared" si="21"/>
        <v>Arquitetura e Marketing Produtos Segurança</v>
      </c>
      <c r="K133" s="55" t="s">
        <v>546</v>
      </c>
      <c r="L133" s="55">
        <v>414618</v>
      </c>
      <c r="M133" s="44" t="s">
        <v>547</v>
      </c>
      <c r="N133" s="55" t="s">
        <v>22</v>
      </c>
      <c r="O133" s="55" t="s">
        <v>541</v>
      </c>
      <c r="P133" s="55"/>
      <c r="Q133" s="55"/>
      <c r="R133" s="55" t="s">
        <v>35</v>
      </c>
      <c r="S133" s="55" t="s">
        <v>503</v>
      </c>
      <c r="XEG133" s="51"/>
      <c r="XEH133" s="52"/>
      <c r="XEI133" s="53"/>
      <c r="XEJ133" s="53"/>
    </row>
    <row r="134" spans="1:19 16361:16364" ht="15" hidden="1" customHeight="1" x14ac:dyDescent="0.2">
      <c r="A134" s="25" t="s">
        <v>6</v>
      </c>
      <c r="B134" s="26" t="s">
        <v>503</v>
      </c>
      <c r="C134" s="26" t="s">
        <v>548</v>
      </c>
      <c r="D134" s="27" t="str">
        <f t="shared" si="15"/>
        <v>Presidência</v>
      </c>
      <c r="E134" s="27" t="str">
        <f t="shared" si="16"/>
        <v>Oi Soluções</v>
      </c>
      <c r="F134" s="27" t="str">
        <f t="shared" si="17"/>
        <v>Produtos e Arquitetura de Soluções</v>
      </c>
      <c r="G134" s="27" t="str">
        <f t="shared" si="18"/>
        <v>LoB2 - SDWAN, Dados e WIFI</v>
      </c>
      <c r="H134" s="27" t="str">
        <f t="shared" si="19"/>
        <v>LoB2 - SDWAN, Dados e WIFI</v>
      </c>
      <c r="I134" s="27" t="str">
        <f t="shared" si="20"/>
        <v>LoB2 - SDWAN, Dados e WIFI</v>
      </c>
      <c r="J134" s="27" t="str">
        <f t="shared" si="21"/>
        <v>LoB2 - SDWAN, Dados e WIFI</v>
      </c>
      <c r="K134" s="28" t="s">
        <v>549</v>
      </c>
      <c r="L134" s="28">
        <v>257215</v>
      </c>
      <c r="M134" s="29" t="s">
        <v>550</v>
      </c>
      <c r="N134" s="28" t="s">
        <v>22</v>
      </c>
      <c r="O134" s="28" t="s">
        <v>551</v>
      </c>
      <c r="P134" s="28"/>
      <c r="Q134" s="28"/>
      <c r="R134" s="28" t="s">
        <v>30</v>
      </c>
      <c r="S134" s="28" t="s">
        <v>503</v>
      </c>
    </row>
    <row r="135" spans="1:19 16361:16364" ht="15" hidden="1" customHeight="1" x14ac:dyDescent="0.2">
      <c r="A135" s="52" t="s">
        <v>7</v>
      </c>
      <c r="B135" s="53" t="s">
        <v>503</v>
      </c>
      <c r="C135" s="53" t="s">
        <v>552</v>
      </c>
      <c r="D135" s="54" t="str">
        <f t="shared" si="15"/>
        <v>Presidência</v>
      </c>
      <c r="E135" s="54" t="str">
        <f t="shared" si="16"/>
        <v>Oi Soluções</v>
      </c>
      <c r="F135" s="54" t="str">
        <f t="shared" si="17"/>
        <v>Produtos e Arquitetura de Soluções</v>
      </c>
      <c r="G135" s="54" t="str">
        <f t="shared" si="18"/>
        <v>LoB2 - SDWAN, Dados e WIFI</v>
      </c>
      <c r="H135" s="54" t="str">
        <f t="shared" si="19"/>
        <v>Marketing Produtos SDWAN, Dados e WIFI</v>
      </c>
      <c r="I135" s="54" t="str">
        <f t="shared" si="20"/>
        <v>Marketing Produtos SDWAN, Dados e WIFI</v>
      </c>
      <c r="J135" s="54" t="str">
        <f t="shared" si="21"/>
        <v>Marketing Produtos SDWAN, Dados e WIFI</v>
      </c>
      <c r="K135" s="55" t="s">
        <v>553</v>
      </c>
      <c r="L135" s="55">
        <v>158606</v>
      </c>
      <c r="M135" s="44" t="s">
        <v>554</v>
      </c>
      <c r="N135" s="55" t="s">
        <v>22</v>
      </c>
      <c r="O135" s="55" t="s">
        <v>551</v>
      </c>
      <c r="P135" s="55"/>
      <c r="Q135" s="55"/>
      <c r="R135" s="55" t="s">
        <v>35</v>
      </c>
      <c r="S135" s="55" t="s">
        <v>503</v>
      </c>
      <c r="XEH135" s="52"/>
      <c r="XEI135" s="53"/>
      <c r="XEJ135" s="53"/>
    </row>
    <row r="136" spans="1:19 16361:16364" ht="15" hidden="1" customHeight="1" x14ac:dyDescent="0.2">
      <c r="A136" s="52" t="s">
        <v>7</v>
      </c>
      <c r="B136" s="53" t="s">
        <v>503</v>
      </c>
      <c r="C136" s="53" t="s">
        <v>555</v>
      </c>
      <c r="D136" s="54" t="str">
        <f t="shared" si="15"/>
        <v>Presidência</v>
      </c>
      <c r="E136" s="54" t="str">
        <f t="shared" si="16"/>
        <v>Oi Soluções</v>
      </c>
      <c r="F136" s="54" t="str">
        <f t="shared" si="17"/>
        <v>Produtos e Arquitetura de Soluções</v>
      </c>
      <c r="G136" s="54" t="str">
        <f t="shared" si="18"/>
        <v>LoB2 - SDWAN, Dados e WIFI</v>
      </c>
      <c r="H136" s="54" t="str">
        <f t="shared" si="19"/>
        <v>Arquitetura de Soluções SDWAN, Dados e WIFI</v>
      </c>
      <c r="I136" s="54" t="str">
        <f t="shared" si="20"/>
        <v>Arquitetura de Soluções SDWAN, Dados e WIFI</v>
      </c>
      <c r="J136" s="54" t="str">
        <f t="shared" si="21"/>
        <v>Arquitetura de Soluções SDWAN, Dados e WIFI</v>
      </c>
      <c r="K136" s="55" t="s">
        <v>556</v>
      </c>
      <c r="L136" s="55">
        <v>84066</v>
      </c>
      <c r="M136" s="44" t="s">
        <v>557</v>
      </c>
      <c r="N136" s="55" t="s">
        <v>22</v>
      </c>
      <c r="O136" s="55" t="s">
        <v>558</v>
      </c>
      <c r="P136" s="55"/>
      <c r="Q136" s="55"/>
      <c r="R136" s="55" t="s">
        <v>35</v>
      </c>
      <c r="S136" s="55" t="s">
        <v>503</v>
      </c>
      <c r="XEH136" s="52"/>
      <c r="XEI136" s="53"/>
      <c r="XEJ136" s="53"/>
    </row>
    <row r="137" spans="1:19 16361:16364" ht="15" hidden="1" customHeight="1" x14ac:dyDescent="0.2">
      <c r="A137" s="25" t="s">
        <v>6</v>
      </c>
      <c r="B137" s="26" t="s">
        <v>503</v>
      </c>
      <c r="C137" s="26" t="s">
        <v>559</v>
      </c>
      <c r="D137" s="27" t="str">
        <f t="shared" si="15"/>
        <v>Presidência</v>
      </c>
      <c r="E137" s="27" t="str">
        <f t="shared" si="16"/>
        <v>Oi Soluções</v>
      </c>
      <c r="F137" s="27" t="str">
        <f t="shared" si="17"/>
        <v>Produtos e Arquitetura de Soluções</v>
      </c>
      <c r="G137" s="27" t="str">
        <f t="shared" si="18"/>
        <v>LoB3 - Cloud, IA, IoT e Observabilidade</v>
      </c>
      <c r="H137" s="27" t="str">
        <f t="shared" si="19"/>
        <v>LoB3 - Cloud, IA, IoT e Observabilidade</v>
      </c>
      <c r="I137" s="27" t="str">
        <f t="shared" si="20"/>
        <v>LoB3 - Cloud, IA, IoT e Observabilidade</v>
      </c>
      <c r="J137" s="27" t="str">
        <f t="shared" si="21"/>
        <v>LoB3 - Cloud, IA, IoT e Observabilidade</v>
      </c>
      <c r="K137" s="28" t="s">
        <v>560</v>
      </c>
      <c r="L137" s="28">
        <v>204877</v>
      </c>
      <c r="M137" s="29" t="s">
        <v>561</v>
      </c>
      <c r="N137" s="28" t="s">
        <v>22</v>
      </c>
      <c r="O137" s="28" t="s">
        <v>562</v>
      </c>
      <c r="P137" s="28"/>
      <c r="Q137" s="28"/>
      <c r="R137" s="28" t="s">
        <v>30</v>
      </c>
      <c r="S137" s="28" t="s">
        <v>503</v>
      </c>
    </row>
    <row r="138" spans="1:19 16361:16364" ht="15" hidden="1" customHeight="1" x14ac:dyDescent="0.2">
      <c r="A138" s="52" t="s">
        <v>7</v>
      </c>
      <c r="B138" s="53" t="s">
        <v>503</v>
      </c>
      <c r="C138" s="53" t="s">
        <v>563</v>
      </c>
      <c r="D138" s="54" t="str">
        <f t="shared" si="15"/>
        <v>Presidência</v>
      </c>
      <c r="E138" s="54" t="str">
        <f t="shared" si="16"/>
        <v>Oi Soluções</v>
      </c>
      <c r="F138" s="54" t="str">
        <f t="shared" si="17"/>
        <v>Produtos e Arquitetura de Soluções</v>
      </c>
      <c r="G138" s="54" t="str">
        <f t="shared" si="18"/>
        <v>LoB3 - Cloud, IA, IoT e Observabilidade</v>
      </c>
      <c r="H138" s="54" t="str">
        <f t="shared" si="19"/>
        <v>Mkt Produtos Cloud, IA, IoT e Observabilidade</v>
      </c>
      <c r="I138" s="54" t="str">
        <f t="shared" si="20"/>
        <v>Mkt Produtos Cloud, IA, IoT e Observabilidade</v>
      </c>
      <c r="J138" s="54" t="str">
        <f t="shared" si="21"/>
        <v>Mkt Produtos Cloud, IA, IoT e Observabilidade</v>
      </c>
      <c r="K138" s="55" t="s">
        <v>564</v>
      </c>
      <c r="L138" s="55">
        <v>302492</v>
      </c>
      <c r="M138" s="44" t="s">
        <v>565</v>
      </c>
      <c r="N138" s="55" t="s">
        <v>22</v>
      </c>
      <c r="O138" s="55" t="s">
        <v>562</v>
      </c>
      <c r="P138" s="55"/>
      <c r="Q138" s="55"/>
      <c r="R138" s="55" t="s">
        <v>35</v>
      </c>
      <c r="S138" s="55" t="s">
        <v>503</v>
      </c>
      <c r="XEH138" s="52"/>
      <c r="XEI138" s="53"/>
      <c r="XEJ138" s="53"/>
    </row>
    <row r="139" spans="1:19 16361:16364" ht="15" hidden="1" customHeight="1" x14ac:dyDescent="0.2">
      <c r="A139" s="14" t="s">
        <v>5</v>
      </c>
      <c r="B139" s="15" t="s">
        <v>503</v>
      </c>
      <c r="C139" s="15" t="s">
        <v>566</v>
      </c>
      <c r="D139" s="16" t="str">
        <f t="shared" si="15"/>
        <v>Presidência</v>
      </c>
      <c r="E139" s="16" t="str">
        <f t="shared" si="16"/>
        <v>Oi Soluções</v>
      </c>
      <c r="F139" s="16" t="str">
        <f t="shared" si="17"/>
        <v>Serviços ao Cliente Oi Soluções</v>
      </c>
      <c r="G139" s="16" t="str">
        <f t="shared" si="18"/>
        <v>Serviços ao Cliente Oi Soluções</v>
      </c>
      <c r="H139" s="16" t="str">
        <f t="shared" si="19"/>
        <v>Serviços ao Cliente Oi Soluções</v>
      </c>
      <c r="I139" s="16" t="str">
        <f t="shared" si="20"/>
        <v>Serviços ao Cliente Oi Soluções</v>
      </c>
      <c r="J139" s="16" t="str">
        <f t="shared" si="21"/>
        <v>Serviços ao Cliente Oi Soluções</v>
      </c>
      <c r="K139" s="17" t="s">
        <v>567</v>
      </c>
      <c r="L139" s="17">
        <v>65976</v>
      </c>
      <c r="M139" s="18" t="s">
        <v>568</v>
      </c>
      <c r="N139" s="17" t="s">
        <v>22</v>
      </c>
      <c r="O139" s="17" t="s">
        <v>569</v>
      </c>
      <c r="P139" s="17"/>
      <c r="Q139" s="17"/>
      <c r="R139" s="17" t="s">
        <v>30</v>
      </c>
      <c r="S139" s="17" t="s">
        <v>503</v>
      </c>
    </row>
    <row r="140" spans="1:19 16361:16364" ht="15" hidden="1" customHeight="1" x14ac:dyDescent="0.2">
      <c r="A140" s="25" t="s">
        <v>6</v>
      </c>
      <c r="B140" s="26" t="s">
        <v>503</v>
      </c>
      <c r="C140" s="26" t="s">
        <v>570</v>
      </c>
      <c r="D140" s="27" t="str">
        <f t="shared" si="15"/>
        <v>Presidência</v>
      </c>
      <c r="E140" s="27" t="str">
        <f t="shared" si="16"/>
        <v>Oi Soluções</v>
      </c>
      <c r="F140" s="27" t="str">
        <f t="shared" si="17"/>
        <v>Serviços ao Cliente Oi Soluções</v>
      </c>
      <c r="G140" s="27" t="str">
        <f t="shared" si="18"/>
        <v>Gerenciamento de Contratos &amp; Contas</v>
      </c>
      <c r="H140" s="27" t="str">
        <f t="shared" si="19"/>
        <v>Gerenciamento de Contratos &amp; Contas</v>
      </c>
      <c r="I140" s="27" t="str">
        <f t="shared" si="20"/>
        <v>Gerenciamento de Contratos &amp; Contas</v>
      </c>
      <c r="J140" s="27" t="str">
        <f t="shared" si="21"/>
        <v>Gerenciamento de Contratos &amp; Contas</v>
      </c>
      <c r="K140" s="28" t="s">
        <v>571</v>
      </c>
      <c r="L140" s="28">
        <v>96682</v>
      </c>
      <c r="M140" s="29" t="s">
        <v>572</v>
      </c>
      <c r="N140" s="28" t="s">
        <v>22</v>
      </c>
      <c r="O140" s="28" t="s">
        <v>573</v>
      </c>
      <c r="P140" s="28"/>
      <c r="Q140" s="28"/>
      <c r="R140" s="28" t="s">
        <v>30</v>
      </c>
      <c r="S140" s="28" t="s">
        <v>503</v>
      </c>
    </row>
    <row r="141" spans="1:19 16361:16364" ht="15" hidden="1" customHeight="1" x14ac:dyDescent="0.2">
      <c r="A141" s="52" t="s">
        <v>7</v>
      </c>
      <c r="B141" s="53" t="s">
        <v>503</v>
      </c>
      <c r="C141" s="53" t="s">
        <v>574</v>
      </c>
      <c r="D141" s="54" t="str">
        <f t="shared" si="15"/>
        <v>Presidência</v>
      </c>
      <c r="E141" s="54" t="str">
        <f t="shared" si="16"/>
        <v>Oi Soluções</v>
      </c>
      <c r="F141" s="54" t="str">
        <f t="shared" si="17"/>
        <v>Serviços ao Cliente Oi Soluções</v>
      </c>
      <c r="G141" s="54" t="str">
        <f t="shared" si="18"/>
        <v>Gerenciamento de Contratos &amp; Contas</v>
      </c>
      <c r="H141" s="54" t="str">
        <f t="shared" si="19"/>
        <v>Gerenciamento da Jornada de Contas</v>
      </c>
      <c r="I141" s="54" t="str">
        <f t="shared" si="20"/>
        <v>Gerenciamento da Jornada de Contas</v>
      </c>
      <c r="J141" s="54" t="str">
        <f t="shared" si="21"/>
        <v>Gerenciamento da Jornada de Contas</v>
      </c>
      <c r="K141" s="55" t="s">
        <v>575</v>
      </c>
      <c r="L141" s="55">
        <v>13392</v>
      </c>
      <c r="M141" s="44" t="s">
        <v>576</v>
      </c>
      <c r="N141" s="55" t="s">
        <v>22</v>
      </c>
      <c r="O141" s="55" t="s">
        <v>573</v>
      </c>
      <c r="P141" s="55"/>
      <c r="Q141" s="55"/>
      <c r="R141" s="55" t="s">
        <v>35</v>
      </c>
      <c r="S141" s="55" t="s">
        <v>503</v>
      </c>
    </row>
    <row r="142" spans="1:19 16361:16364" ht="15" hidden="1" customHeight="1" x14ac:dyDescent="0.2">
      <c r="A142" s="52" t="s">
        <v>7</v>
      </c>
      <c r="B142" s="53" t="s">
        <v>503</v>
      </c>
      <c r="C142" s="53" t="s">
        <v>577</v>
      </c>
      <c r="D142" s="54" t="str">
        <f t="shared" si="15"/>
        <v>Presidência</v>
      </c>
      <c r="E142" s="54" t="str">
        <f t="shared" si="16"/>
        <v>Oi Soluções</v>
      </c>
      <c r="F142" s="54" t="str">
        <f t="shared" si="17"/>
        <v>Serviços ao Cliente Oi Soluções</v>
      </c>
      <c r="G142" s="54" t="str">
        <f t="shared" si="18"/>
        <v>Gerenciamento de Contratos &amp; Contas</v>
      </c>
      <c r="H142" s="54" t="str">
        <f t="shared" si="19"/>
        <v>Admin Contratos &amp; Prebilling Governo</v>
      </c>
      <c r="I142" s="54" t="str">
        <f t="shared" si="20"/>
        <v>Admin Contratos &amp; Prebilling Governo</v>
      </c>
      <c r="J142" s="54" t="str">
        <f t="shared" si="21"/>
        <v>Admin Contratos &amp; Prebilling Governo</v>
      </c>
      <c r="K142" s="55" t="s">
        <v>578</v>
      </c>
      <c r="L142" s="55">
        <v>301871</v>
      </c>
      <c r="M142" s="44" t="s">
        <v>579</v>
      </c>
      <c r="N142" s="55" t="s">
        <v>22</v>
      </c>
      <c r="O142" s="55" t="s">
        <v>573</v>
      </c>
      <c r="P142" s="55"/>
      <c r="Q142" s="55"/>
      <c r="R142" s="55" t="s">
        <v>35</v>
      </c>
      <c r="S142" s="55" t="s">
        <v>503</v>
      </c>
    </row>
    <row r="143" spans="1:19 16361:16364" ht="15" hidden="1" customHeight="1" x14ac:dyDescent="0.2">
      <c r="A143" s="52" t="s">
        <v>7</v>
      </c>
      <c r="B143" s="53" t="s">
        <v>503</v>
      </c>
      <c r="C143" s="53" t="s">
        <v>580</v>
      </c>
      <c r="D143" s="54" t="str">
        <f t="shared" si="15"/>
        <v>Presidência</v>
      </c>
      <c r="E143" s="54" t="str">
        <f t="shared" si="16"/>
        <v>Oi Soluções</v>
      </c>
      <c r="F143" s="54" t="str">
        <f t="shared" si="17"/>
        <v>Serviços ao Cliente Oi Soluções</v>
      </c>
      <c r="G143" s="54" t="str">
        <f t="shared" si="18"/>
        <v>Gerenciamento de Contratos &amp; Contas</v>
      </c>
      <c r="H143" s="54" t="str">
        <f t="shared" si="19"/>
        <v>Admin Contratos &amp; Prebilling Privado</v>
      </c>
      <c r="I143" s="54" t="str">
        <f t="shared" si="20"/>
        <v>Admin Contratos &amp; Prebilling Privado</v>
      </c>
      <c r="J143" s="54" t="str">
        <f t="shared" si="21"/>
        <v>Admin Contratos &amp; Prebilling Privado</v>
      </c>
      <c r="K143" s="55" t="s">
        <v>581</v>
      </c>
      <c r="L143" s="55">
        <v>89339</v>
      </c>
      <c r="M143" s="44" t="s">
        <v>582</v>
      </c>
      <c r="N143" s="55" t="s">
        <v>22</v>
      </c>
      <c r="O143" s="55" t="s">
        <v>573</v>
      </c>
      <c r="P143" s="55"/>
      <c r="Q143" s="55"/>
      <c r="R143" s="55" t="s">
        <v>35</v>
      </c>
      <c r="S143" s="55" t="s">
        <v>503</v>
      </c>
    </row>
    <row r="144" spans="1:19 16361:16364" ht="15" hidden="1" customHeight="1" x14ac:dyDescent="0.2">
      <c r="A144" s="52" t="s">
        <v>7</v>
      </c>
      <c r="B144" s="53" t="s">
        <v>503</v>
      </c>
      <c r="C144" s="53" t="s">
        <v>583</v>
      </c>
      <c r="D144" s="54" t="str">
        <f t="shared" si="15"/>
        <v>Presidência</v>
      </c>
      <c r="E144" s="54" t="str">
        <f t="shared" si="16"/>
        <v>Oi Soluções</v>
      </c>
      <c r="F144" s="54" t="str">
        <f t="shared" si="17"/>
        <v>Serviços ao Cliente Oi Soluções</v>
      </c>
      <c r="G144" s="54" t="str">
        <f t="shared" si="18"/>
        <v>Gerenciamento de Contratos &amp; Contas</v>
      </c>
      <c r="H144" s="54" t="str">
        <f t="shared" si="19"/>
        <v>Gestão da Contestação e Serviços de Contas</v>
      </c>
      <c r="I144" s="54" t="str">
        <f t="shared" si="20"/>
        <v>Gestão da Contestação e Serviços de Contas</v>
      </c>
      <c r="J144" s="54" t="str">
        <f t="shared" si="21"/>
        <v>Gestão da Contestação e Serviços de Contas</v>
      </c>
      <c r="K144" s="55" t="s">
        <v>584</v>
      </c>
      <c r="L144" s="55">
        <v>323283</v>
      </c>
      <c r="M144" s="44" t="s">
        <v>585</v>
      </c>
      <c r="N144" s="55" t="s">
        <v>22</v>
      </c>
      <c r="O144" s="55" t="s">
        <v>573</v>
      </c>
      <c r="P144" s="55"/>
      <c r="Q144" s="55"/>
      <c r="R144" s="55" t="s">
        <v>35</v>
      </c>
      <c r="S144" s="55" t="s">
        <v>503</v>
      </c>
    </row>
    <row r="145" spans="1:19" ht="15" hidden="1" customHeight="1" x14ac:dyDescent="0.2">
      <c r="A145" s="25" t="s">
        <v>6</v>
      </c>
      <c r="B145" s="26" t="s">
        <v>503</v>
      </c>
      <c r="C145" s="26" t="s">
        <v>586</v>
      </c>
      <c r="D145" s="27" t="str">
        <f t="shared" si="15"/>
        <v>Presidência</v>
      </c>
      <c r="E145" s="27" t="str">
        <f t="shared" si="16"/>
        <v>Oi Soluções</v>
      </c>
      <c r="F145" s="27" t="str">
        <f t="shared" si="17"/>
        <v>Serviços ao Cliente Oi Soluções</v>
      </c>
      <c r="G145" s="27" t="str">
        <f t="shared" si="18"/>
        <v>Delivery das Soluções Digitais</v>
      </c>
      <c r="H145" s="27" t="str">
        <f t="shared" si="19"/>
        <v>Delivery das Soluções Digitais</v>
      </c>
      <c r="I145" s="27" t="str">
        <f t="shared" si="20"/>
        <v>Delivery das Soluções Digitais</v>
      </c>
      <c r="J145" s="27" t="str">
        <f t="shared" si="21"/>
        <v>Delivery das Soluções Digitais</v>
      </c>
      <c r="K145" s="28" t="s">
        <v>587</v>
      </c>
      <c r="L145" s="28">
        <v>191704</v>
      </c>
      <c r="M145" s="29" t="s">
        <v>588</v>
      </c>
      <c r="N145" s="28" t="s">
        <v>22</v>
      </c>
      <c r="O145" s="28" t="s">
        <v>589</v>
      </c>
      <c r="P145" s="28"/>
      <c r="Q145" s="28"/>
      <c r="R145" s="28" t="s">
        <v>30</v>
      </c>
      <c r="S145" s="28" t="s">
        <v>503</v>
      </c>
    </row>
    <row r="146" spans="1:19" ht="15" hidden="1" customHeight="1" x14ac:dyDescent="0.2">
      <c r="A146" s="52" t="s">
        <v>7</v>
      </c>
      <c r="B146" s="53" t="s">
        <v>503</v>
      </c>
      <c r="C146" s="53" t="s">
        <v>590</v>
      </c>
      <c r="D146" s="54" t="str">
        <f t="shared" si="15"/>
        <v>Presidência</v>
      </c>
      <c r="E146" s="54" t="str">
        <f t="shared" si="16"/>
        <v>Oi Soluções</v>
      </c>
      <c r="F146" s="54" t="str">
        <f t="shared" si="17"/>
        <v>Serviços ao Cliente Oi Soluções</v>
      </c>
      <c r="G146" s="54" t="str">
        <f t="shared" si="18"/>
        <v>Delivery das Soluções Digitais</v>
      </c>
      <c r="H146" s="54" t="str">
        <f t="shared" si="19"/>
        <v>Gestão da Entrega Privado</v>
      </c>
      <c r="I146" s="54" t="str">
        <f t="shared" si="20"/>
        <v>Gestão da Entrega Privado</v>
      </c>
      <c r="J146" s="54" t="str">
        <f t="shared" si="21"/>
        <v>Gestão da Entrega Privado</v>
      </c>
      <c r="K146" s="55" t="s">
        <v>591</v>
      </c>
      <c r="L146" s="55">
        <v>88881</v>
      </c>
      <c r="M146" s="44" t="s">
        <v>592</v>
      </c>
      <c r="N146" s="55" t="s">
        <v>22</v>
      </c>
      <c r="O146" s="55" t="s">
        <v>589</v>
      </c>
      <c r="P146" s="55"/>
      <c r="Q146" s="55"/>
      <c r="R146" s="55" t="s">
        <v>35</v>
      </c>
      <c r="S146" s="55" t="s">
        <v>503</v>
      </c>
    </row>
    <row r="147" spans="1:19" ht="15" hidden="1" customHeight="1" x14ac:dyDescent="0.2">
      <c r="A147" s="52" t="s">
        <v>7</v>
      </c>
      <c r="B147" s="53" t="s">
        <v>503</v>
      </c>
      <c r="C147" s="53" t="s">
        <v>593</v>
      </c>
      <c r="D147" s="54" t="str">
        <f t="shared" si="15"/>
        <v>Presidência</v>
      </c>
      <c r="E147" s="54" t="str">
        <f t="shared" si="16"/>
        <v>Oi Soluções</v>
      </c>
      <c r="F147" s="54" t="str">
        <f t="shared" si="17"/>
        <v>Serviços ao Cliente Oi Soluções</v>
      </c>
      <c r="G147" s="54" t="str">
        <f t="shared" si="18"/>
        <v>Delivery das Soluções Digitais</v>
      </c>
      <c r="H147" s="54" t="str">
        <f t="shared" si="19"/>
        <v>Gestão da Entrega Gov SE/NE/NO</v>
      </c>
      <c r="I147" s="54" t="str">
        <f t="shared" si="20"/>
        <v>Gestão da Entrega Gov SE/NE/NO</v>
      </c>
      <c r="J147" s="54" t="str">
        <f t="shared" si="21"/>
        <v>Gestão da Entrega Gov SE/NE/NO</v>
      </c>
      <c r="K147" s="55" t="s">
        <v>594</v>
      </c>
      <c r="L147" s="55">
        <v>70691</v>
      </c>
      <c r="M147" s="44" t="s">
        <v>595</v>
      </c>
      <c r="N147" s="55" t="s">
        <v>22</v>
      </c>
      <c r="O147" s="55" t="s">
        <v>589</v>
      </c>
      <c r="P147" s="55"/>
      <c r="Q147" s="55"/>
      <c r="R147" s="55" t="s">
        <v>35</v>
      </c>
      <c r="S147" s="55" t="s">
        <v>503</v>
      </c>
    </row>
    <row r="148" spans="1:19" ht="15" hidden="1" customHeight="1" x14ac:dyDescent="0.2">
      <c r="A148" s="52" t="s">
        <v>7</v>
      </c>
      <c r="B148" s="53" t="s">
        <v>503</v>
      </c>
      <c r="C148" s="53" t="s">
        <v>596</v>
      </c>
      <c r="D148" s="54" t="str">
        <f t="shared" si="15"/>
        <v>Presidência</v>
      </c>
      <c r="E148" s="54" t="str">
        <f t="shared" si="16"/>
        <v>Oi Soluções</v>
      </c>
      <c r="F148" s="54" t="str">
        <f t="shared" si="17"/>
        <v>Serviços ao Cliente Oi Soluções</v>
      </c>
      <c r="G148" s="54" t="str">
        <f t="shared" si="18"/>
        <v>Delivery das Soluções Digitais</v>
      </c>
      <c r="H148" s="54" t="str">
        <f t="shared" si="19"/>
        <v>Gestão da Entrega Gov SUL/SP/GF/DF/CO</v>
      </c>
      <c r="I148" s="54" t="str">
        <f t="shared" si="20"/>
        <v>Gestão da Entrega Gov SUL/SP/GF/DF/CO</v>
      </c>
      <c r="J148" s="54" t="str">
        <f t="shared" si="21"/>
        <v>Gestão da Entrega Gov SUL/SP/GF/DF/CO</v>
      </c>
      <c r="K148" s="55" t="s">
        <v>597</v>
      </c>
      <c r="L148" s="55">
        <v>302353</v>
      </c>
      <c r="M148" s="44" t="s">
        <v>598</v>
      </c>
      <c r="N148" s="55" t="s">
        <v>22</v>
      </c>
      <c r="O148" s="55" t="s">
        <v>589</v>
      </c>
      <c r="P148" s="55"/>
      <c r="Q148" s="55"/>
      <c r="R148" s="55" t="s">
        <v>35</v>
      </c>
      <c r="S148" s="55" t="s">
        <v>503</v>
      </c>
    </row>
    <row r="149" spans="1:19" ht="15" hidden="1" customHeight="1" x14ac:dyDescent="0.2">
      <c r="A149" s="52" t="s">
        <v>7</v>
      </c>
      <c r="B149" s="53" t="s">
        <v>503</v>
      </c>
      <c r="C149" s="53" t="s">
        <v>599</v>
      </c>
      <c r="D149" s="54" t="str">
        <f t="shared" si="15"/>
        <v>Presidência</v>
      </c>
      <c r="E149" s="54" t="str">
        <f t="shared" si="16"/>
        <v>Oi Soluções</v>
      </c>
      <c r="F149" s="54" t="str">
        <f t="shared" si="17"/>
        <v>Serviços ao Cliente Oi Soluções</v>
      </c>
      <c r="G149" s="54" t="str">
        <f t="shared" si="18"/>
        <v>Delivery das Soluções Digitais</v>
      </c>
      <c r="H149" s="54" t="str">
        <f t="shared" si="19"/>
        <v>Cadastro de Soluções Digitais</v>
      </c>
      <c r="I149" s="54" t="str">
        <f t="shared" si="20"/>
        <v>Cadastro de Soluções Digitais</v>
      </c>
      <c r="J149" s="54" t="str">
        <f t="shared" si="21"/>
        <v>Cadastro de Soluções Digitais</v>
      </c>
      <c r="K149" s="55" t="s">
        <v>600</v>
      </c>
      <c r="L149" s="55">
        <v>14236</v>
      </c>
      <c r="M149" s="44" t="s">
        <v>601</v>
      </c>
      <c r="N149" s="55" t="s">
        <v>22</v>
      </c>
      <c r="O149" s="55" t="s">
        <v>589</v>
      </c>
      <c r="P149" s="55"/>
      <c r="Q149" s="55"/>
      <c r="R149" s="55" t="s">
        <v>35</v>
      </c>
      <c r="S149" s="55" t="s">
        <v>503</v>
      </c>
    </row>
    <row r="150" spans="1:19" ht="15" hidden="1" customHeight="1" x14ac:dyDescent="0.2">
      <c r="A150" s="52" t="s">
        <v>7</v>
      </c>
      <c r="B150" s="53" t="s">
        <v>503</v>
      </c>
      <c r="C150" s="53" t="s">
        <v>602</v>
      </c>
      <c r="D150" s="54" t="str">
        <f t="shared" si="15"/>
        <v>Presidência</v>
      </c>
      <c r="E150" s="54" t="str">
        <f t="shared" si="16"/>
        <v>Oi Soluções</v>
      </c>
      <c r="F150" s="54" t="str">
        <f t="shared" si="17"/>
        <v>Serviços ao Cliente Oi Soluções</v>
      </c>
      <c r="G150" s="54" t="str">
        <f t="shared" si="18"/>
        <v>Delivery das Soluções Digitais</v>
      </c>
      <c r="H150" s="54" t="str">
        <f t="shared" si="19"/>
        <v>Gestão da Entrega Finanças &amp; TI Especializado</v>
      </c>
      <c r="I150" s="54" t="str">
        <f t="shared" si="20"/>
        <v>Gestão da Entrega Finanças &amp; TI Especializado</v>
      </c>
      <c r="J150" s="54" t="str">
        <f t="shared" si="21"/>
        <v>Gestão da Entrega Finanças &amp; TI Especializado</v>
      </c>
      <c r="K150" s="55" t="s">
        <v>603</v>
      </c>
      <c r="L150" s="55">
        <v>303135</v>
      </c>
      <c r="M150" s="44" t="s">
        <v>604</v>
      </c>
      <c r="N150" s="55" t="s">
        <v>22</v>
      </c>
      <c r="O150" s="55" t="s">
        <v>589</v>
      </c>
      <c r="P150" s="55"/>
      <c r="Q150" s="55"/>
      <c r="R150" s="55" t="s">
        <v>35</v>
      </c>
      <c r="S150" s="55" t="s">
        <v>503</v>
      </c>
    </row>
    <row r="151" spans="1:19" ht="15" hidden="1" customHeight="1" x14ac:dyDescent="0.2">
      <c r="A151" s="52" t="s">
        <v>7</v>
      </c>
      <c r="B151" s="53" t="s">
        <v>503</v>
      </c>
      <c r="C151" s="53" t="s">
        <v>605</v>
      </c>
      <c r="D151" s="54" t="str">
        <f t="shared" si="15"/>
        <v>Presidência</v>
      </c>
      <c r="E151" s="54" t="str">
        <f t="shared" si="16"/>
        <v>Oi Soluções</v>
      </c>
      <c r="F151" s="54" t="str">
        <f t="shared" si="17"/>
        <v>Serviços ao Cliente Oi Soluções</v>
      </c>
      <c r="G151" s="54" t="str">
        <f t="shared" si="18"/>
        <v>Delivery das Soluções Digitais</v>
      </c>
      <c r="H151" s="54" t="str">
        <f t="shared" si="19"/>
        <v>Gerenciamento da Jornada de Entrega</v>
      </c>
      <c r="I151" s="54" t="str">
        <f t="shared" si="20"/>
        <v>Gerenciamento da Jornada de Entrega</v>
      </c>
      <c r="J151" s="54" t="str">
        <f t="shared" si="21"/>
        <v>Gerenciamento da Jornada de Entrega</v>
      </c>
      <c r="K151" s="55" t="s">
        <v>606</v>
      </c>
      <c r="L151" s="55">
        <v>82795</v>
      </c>
      <c r="M151" s="44" t="s">
        <v>607</v>
      </c>
      <c r="N151" s="55" t="s">
        <v>22</v>
      </c>
      <c r="O151" s="55" t="s">
        <v>589</v>
      </c>
      <c r="P151" s="55"/>
      <c r="Q151" s="55"/>
      <c r="R151" s="55" t="s">
        <v>35</v>
      </c>
      <c r="S151" s="55" t="s">
        <v>503</v>
      </c>
    </row>
    <row r="152" spans="1:19" ht="15" hidden="1" customHeight="1" x14ac:dyDescent="0.2">
      <c r="A152" s="25" t="s">
        <v>6</v>
      </c>
      <c r="B152" s="26" t="s">
        <v>503</v>
      </c>
      <c r="C152" s="26" t="s">
        <v>608</v>
      </c>
      <c r="D152" s="27" t="str">
        <f t="shared" si="15"/>
        <v>Presidência</v>
      </c>
      <c r="E152" s="27" t="str">
        <f t="shared" si="16"/>
        <v>Oi Soluções</v>
      </c>
      <c r="F152" s="27" t="str">
        <f t="shared" si="17"/>
        <v>Serviços ao Cliente Oi Soluções</v>
      </c>
      <c r="G152" s="27" t="str">
        <f t="shared" si="18"/>
        <v>Gerenciamento do Relacionamento com o Cliente</v>
      </c>
      <c r="H152" s="27" t="str">
        <f t="shared" si="19"/>
        <v>Gerenciamento do Relacionamento com o Cliente</v>
      </c>
      <c r="I152" s="27" t="str">
        <f t="shared" si="20"/>
        <v>Gerenciamento do Relacionamento com o Cliente</v>
      </c>
      <c r="J152" s="27" t="str">
        <f t="shared" si="21"/>
        <v>Gerenciamento do Relacionamento com o Cliente</v>
      </c>
      <c r="K152" s="28" t="s">
        <v>609</v>
      </c>
      <c r="L152" s="28">
        <v>340506</v>
      </c>
      <c r="M152" s="29" t="s">
        <v>610</v>
      </c>
      <c r="N152" s="28" t="s">
        <v>22</v>
      </c>
      <c r="O152" s="28" t="s">
        <v>611</v>
      </c>
      <c r="P152" s="28"/>
      <c r="Q152" s="28"/>
      <c r="R152" s="28" t="s">
        <v>30</v>
      </c>
      <c r="S152" s="28" t="s">
        <v>503</v>
      </c>
    </row>
    <row r="153" spans="1:19" ht="15" hidden="1" customHeight="1" x14ac:dyDescent="0.2">
      <c r="A153" s="52" t="s">
        <v>7</v>
      </c>
      <c r="B153" s="53" t="s">
        <v>503</v>
      </c>
      <c r="C153" s="53" t="s">
        <v>612</v>
      </c>
      <c r="D153" s="54" t="str">
        <f t="shared" si="15"/>
        <v>Presidência</v>
      </c>
      <c r="E153" s="54" t="str">
        <f t="shared" si="16"/>
        <v>Oi Soluções</v>
      </c>
      <c r="F153" s="54" t="str">
        <f t="shared" si="17"/>
        <v>Serviços ao Cliente Oi Soluções</v>
      </c>
      <c r="G153" s="54" t="str">
        <f t="shared" si="18"/>
        <v>Gerenciamento do Relacionamento com o Cliente</v>
      </c>
      <c r="H153" s="54" t="str">
        <f t="shared" si="19"/>
        <v>Relacionamento com o Cliente Gov SUL/SP/SE/NE/NO</v>
      </c>
      <c r="I153" s="54" t="str">
        <f t="shared" si="20"/>
        <v>Relacionamento com o Cliente Gov SUL/SP/SE/NE/NO</v>
      </c>
      <c r="J153" s="54" t="str">
        <f t="shared" si="21"/>
        <v>Relacionamento com o Cliente Gov SUL/SP/SE/NE/NO</v>
      </c>
      <c r="K153" s="55" t="s">
        <v>613</v>
      </c>
      <c r="L153" s="55">
        <v>62953</v>
      </c>
      <c r="M153" s="44" t="s">
        <v>614</v>
      </c>
      <c r="N153" s="55" t="s">
        <v>22</v>
      </c>
      <c r="O153" s="55" t="s">
        <v>611</v>
      </c>
      <c r="P153" s="55"/>
      <c r="Q153" s="55"/>
      <c r="R153" s="55" t="s">
        <v>35</v>
      </c>
      <c r="S153" s="55" t="s">
        <v>503</v>
      </c>
    </row>
    <row r="154" spans="1:19" ht="15" hidden="1" customHeight="1" x14ac:dyDescent="0.2">
      <c r="A154" s="52" t="s">
        <v>7</v>
      </c>
      <c r="B154" s="53" t="s">
        <v>503</v>
      </c>
      <c r="C154" s="53" t="s">
        <v>615</v>
      </c>
      <c r="D154" s="54" t="str">
        <f t="shared" si="15"/>
        <v>Presidência</v>
      </c>
      <c r="E154" s="54" t="str">
        <f t="shared" si="16"/>
        <v>Oi Soluções</v>
      </c>
      <c r="F154" s="54" t="str">
        <f t="shared" si="17"/>
        <v>Serviços ao Cliente Oi Soluções</v>
      </c>
      <c r="G154" s="54" t="str">
        <f t="shared" si="18"/>
        <v>Gerenciamento do Relacionamento com o Cliente</v>
      </c>
      <c r="H154" s="54" t="str">
        <f t="shared" si="19"/>
        <v>Relacionamento com o Cliente Finanças</v>
      </c>
      <c r="I154" s="54" t="str">
        <f t="shared" si="20"/>
        <v>Relacionamento com o Cliente Finanças</v>
      </c>
      <c r="J154" s="54" t="str">
        <f t="shared" si="21"/>
        <v>Relacionamento com o Cliente Finanças</v>
      </c>
      <c r="K154" s="55" t="s">
        <v>616</v>
      </c>
      <c r="L154" s="55">
        <v>418810</v>
      </c>
      <c r="M154" s="44" t="s">
        <v>617</v>
      </c>
      <c r="N154" s="55" t="s">
        <v>22</v>
      </c>
      <c r="O154" s="55" t="s">
        <v>618</v>
      </c>
      <c r="P154" s="55"/>
      <c r="Q154" s="55"/>
      <c r="R154" s="55" t="s">
        <v>35</v>
      </c>
      <c r="S154" s="55" t="s">
        <v>503</v>
      </c>
    </row>
    <row r="155" spans="1:19" ht="15" hidden="1" customHeight="1" x14ac:dyDescent="0.2">
      <c r="A155" s="52" t="s">
        <v>7</v>
      </c>
      <c r="B155" s="53" t="s">
        <v>503</v>
      </c>
      <c r="C155" s="53" t="s">
        <v>619</v>
      </c>
      <c r="D155" s="54" t="str">
        <f t="shared" si="15"/>
        <v>Presidência</v>
      </c>
      <c r="E155" s="54" t="str">
        <f t="shared" si="16"/>
        <v>Oi Soluções</v>
      </c>
      <c r="F155" s="54" t="str">
        <f t="shared" si="17"/>
        <v>Serviços ao Cliente Oi Soluções</v>
      </c>
      <c r="G155" s="54" t="str">
        <f t="shared" si="18"/>
        <v>Gerenciamento do Relacionamento com o Cliente</v>
      </c>
      <c r="H155" s="54" t="str">
        <f t="shared" si="19"/>
        <v>Relacionamento com o Cliente Privado</v>
      </c>
      <c r="I155" s="54" t="str">
        <f t="shared" si="20"/>
        <v>Relacionamento com o Cliente Privado</v>
      </c>
      <c r="J155" s="54" t="str">
        <f t="shared" si="21"/>
        <v>Relacionamento com o Cliente Privado</v>
      </c>
      <c r="K155" s="55" t="s">
        <v>620</v>
      </c>
      <c r="L155" s="55">
        <v>37819</v>
      </c>
      <c r="M155" s="44" t="s">
        <v>621</v>
      </c>
      <c r="N155" s="55" t="s">
        <v>22</v>
      </c>
      <c r="O155" s="55" t="s">
        <v>622</v>
      </c>
      <c r="P155" s="55"/>
      <c r="Q155" s="55"/>
      <c r="R155" s="55" t="s">
        <v>35</v>
      </c>
      <c r="S155" s="55" t="s">
        <v>503</v>
      </c>
    </row>
    <row r="156" spans="1:19" ht="15" hidden="1" customHeight="1" x14ac:dyDescent="0.2">
      <c r="A156" s="52" t="s">
        <v>7</v>
      </c>
      <c r="B156" s="53" t="s">
        <v>503</v>
      </c>
      <c r="C156" s="53" t="s">
        <v>623</v>
      </c>
      <c r="D156" s="54" t="str">
        <f t="shared" si="15"/>
        <v>Presidência</v>
      </c>
      <c r="E156" s="54" t="str">
        <f t="shared" si="16"/>
        <v>Oi Soluções</v>
      </c>
      <c r="F156" s="54" t="str">
        <f t="shared" si="17"/>
        <v>Serviços ao Cliente Oi Soluções</v>
      </c>
      <c r="G156" s="54" t="str">
        <f t="shared" si="18"/>
        <v>Gerenciamento do Relacionamento com o Cliente</v>
      </c>
      <c r="H156" s="54" t="str">
        <f t="shared" si="19"/>
        <v>Relacionamento com Gov GF/DF/CO | Atend Dig/Online</v>
      </c>
      <c r="I156" s="54" t="str">
        <f t="shared" si="20"/>
        <v>Relacionamento com Gov GF/DF/CO | Atend Dig/Online</v>
      </c>
      <c r="J156" s="54" t="str">
        <f t="shared" si="21"/>
        <v>Relacionamento com Gov GF/DF/CO | Atend Dig/Online</v>
      </c>
      <c r="K156" s="55" t="s">
        <v>624</v>
      </c>
      <c r="L156" s="55">
        <v>274148</v>
      </c>
      <c r="M156" s="44" t="s">
        <v>625</v>
      </c>
      <c r="N156" s="55" t="s">
        <v>22</v>
      </c>
      <c r="O156" s="55" t="s">
        <v>626</v>
      </c>
      <c r="P156" s="55"/>
      <c r="Q156" s="55"/>
      <c r="R156" s="55" t="s">
        <v>35</v>
      </c>
      <c r="S156" s="55" t="s">
        <v>503</v>
      </c>
    </row>
    <row r="157" spans="1:19" ht="15" hidden="1" customHeight="1" x14ac:dyDescent="0.2">
      <c r="A157" s="14" t="s">
        <v>5</v>
      </c>
      <c r="B157" s="15" t="s">
        <v>503</v>
      </c>
      <c r="C157" s="15" t="s">
        <v>627</v>
      </c>
      <c r="D157" s="16" t="str">
        <f t="shared" si="15"/>
        <v>Presidência</v>
      </c>
      <c r="E157" s="16" t="str">
        <f t="shared" si="16"/>
        <v>Oi Soluções</v>
      </c>
      <c r="F157" s="16" t="str">
        <f t="shared" si="17"/>
        <v>Vendas Privado Nacional</v>
      </c>
      <c r="G157" s="16" t="str">
        <f t="shared" si="18"/>
        <v>Vendas Privado Nacional</v>
      </c>
      <c r="H157" s="16" t="str">
        <f t="shared" si="19"/>
        <v>Vendas Privado Nacional</v>
      </c>
      <c r="I157" s="16" t="str">
        <f t="shared" si="20"/>
        <v>Vendas Privado Nacional</v>
      </c>
      <c r="J157" s="16" t="str">
        <f t="shared" si="21"/>
        <v>Vendas Privado Nacional</v>
      </c>
      <c r="K157" s="17" t="s">
        <v>628</v>
      </c>
      <c r="L157" s="17">
        <v>406692</v>
      </c>
      <c r="M157" s="18" t="s">
        <v>629</v>
      </c>
      <c r="N157" s="17" t="s">
        <v>22</v>
      </c>
      <c r="O157" s="17" t="s">
        <v>630</v>
      </c>
      <c r="P157" s="17"/>
      <c r="Q157" s="17"/>
      <c r="R157" s="17" t="s">
        <v>30</v>
      </c>
      <c r="S157" s="17" t="s">
        <v>503</v>
      </c>
    </row>
    <row r="158" spans="1:19" ht="15" hidden="1" customHeight="1" x14ac:dyDescent="0.2">
      <c r="A158" s="25" t="s">
        <v>6</v>
      </c>
      <c r="B158" s="26" t="s">
        <v>503</v>
      </c>
      <c r="C158" s="26" t="s">
        <v>631</v>
      </c>
      <c r="D158" s="27" t="str">
        <f t="shared" si="15"/>
        <v>Presidência</v>
      </c>
      <c r="E158" s="27" t="str">
        <f t="shared" si="16"/>
        <v>Oi Soluções</v>
      </c>
      <c r="F158" s="27" t="str">
        <f t="shared" si="17"/>
        <v>Vendas Privado Nacional</v>
      </c>
      <c r="G158" s="27" t="str">
        <f t="shared" si="18"/>
        <v>Vendas Privado SP II</v>
      </c>
      <c r="H158" s="27" t="str">
        <f t="shared" si="19"/>
        <v>Vendas Privado SP II</v>
      </c>
      <c r="I158" s="27" t="str">
        <f t="shared" si="20"/>
        <v>Vendas Privado SP II</v>
      </c>
      <c r="J158" s="27" t="str">
        <f t="shared" si="21"/>
        <v>Vendas Privado SP II</v>
      </c>
      <c r="K158" s="28" t="s">
        <v>632</v>
      </c>
      <c r="L158" s="28">
        <v>418939</v>
      </c>
      <c r="M158" s="29" t="s">
        <v>633</v>
      </c>
      <c r="N158" s="28" t="s">
        <v>22</v>
      </c>
      <c r="O158" s="28" t="s">
        <v>634</v>
      </c>
      <c r="P158" s="28"/>
      <c r="Q158" s="28"/>
      <c r="R158" s="28" t="s">
        <v>35</v>
      </c>
      <c r="S158" s="28" t="s">
        <v>503</v>
      </c>
    </row>
    <row r="159" spans="1:19" ht="15" hidden="1" customHeight="1" x14ac:dyDescent="0.2">
      <c r="A159" s="25" t="s">
        <v>6</v>
      </c>
      <c r="B159" s="26" t="s">
        <v>503</v>
      </c>
      <c r="C159" s="26" t="s">
        <v>635</v>
      </c>
      <c r="D159" s="27" t="str">
        <f t="shared" si="15"/>
        <v>Presidência</v>
      </c>
      <c r="E159" s="27" t="str">
        <f t="shared" si="16"/>
        <v>Oi Soluções</v>
      </c>
      <c r="F159" s="27" t="str">
        <f t="shared" si="17"/>
        <v>Vendas Privado Nacional</v>
      </c>
      <c r="G159" s="27" t="str">
        <f t="shared" si="18"/>
        <v>Vendas Privado RJ</v>
      </c>
      <c r="H159" s="27" t="str">
        <f t="shared" si="19"/>
        <v>Vendas Privado RJ</v>
      </c>
      <c r="I159" s="27" t="str">
        <f t="shared" si="20"/>
        <v>Vendas Privado RJ</v>
      </c>
      <c r="J159" s="27" t="str">
        <f t="shared" si="21"/>
        <v>Vendas Privado RJ</v>
      </c>
      <c r="K159" s="28" t="s">
        <v>636</v>
      </c>
      <c r="L159" s="28">
        <v>411539</v>
      </c>
      <c r="M159" s="29" t="s">
        <v>637</v>
      </c>
      <c r="N159" s="28" t="s">
        <v>22</v>
      </c>
      <c r="O159" s="28" t="s">
        <v>638</v>
      </c>
      <c r="P159" s="28"/>
      <c r="Q159" s="28"/>
      <c r="R159" s="28" t="s">
        <v>35</v>
      </c>
      <c r="S159" s="28" t="s">
        <v>503</v>
      </c>
    </row>
    <row r="160" spans="1:19" ht="15" hidden="1" customHeight="1" x14ac:dyDescent="0.2">
      <c r="A160" s="25" t="s">
        <v>6</v>
      </c>
      <c r="B160" s="26" t="s">
        <v>503</v>
      </c>
      <c r="C160" s="26" t="s">
        <v>639</v>
      </c>
      <c r="D160" s="27" t="str">
        <f t="shared" si="15"/>
        <v>Presidência</v>
      </c>
      <c r="E160" s="27" t="str">
        <f t="shared" si="16"/>
        <v>Oi Soluções</v>
      </c>
      <c r="F160" s="27" t="str">
        <f t="shared" si="17"/>
        <v>Vendas Privado Nacional</v>
      </c>
      <c r="G160" s="27" t="str">
        <f t="shared" si="18"/>
        <v>Vendas Privado Nordeste</v>
      </c>
      <c r="H160" s="27" t="str">
        <f t="shared" si="19"/>
        <v>Vendas Privado Nordeste</v>
      </c>
      <c r="I160" s="27" t="str">
        <f t="shared" si="20"/>
        <v>Vendas Privado Nordeste</v>
      </c>
      <c r="J160" s="27" t="str">
        <f t="shared" si="21"/>
        <v>Vendas Privado Nordeste</v>
      </c>
      <c r="K160" s="28" t="s">
        <v>640</v>
      </c>
      <c r="L160" s="28">
        <v>403575</v>
      </c>
      <c r="M160" s="29" t="s">
        <v>641</v>
      </c>
      <c r="N160" s="28" t="s">
        <v>22</v>
      </c>
      <c r="O160" s="28" t="s">
        <v>642</v>
      </c>
      <c r="P160" s="28"/>
      <c r="Q160" s="28"/>
      <c r="R160" s="28" t="s">
        <v>35</v>
      </c>
      <c r="S160" s="28" t="s">
        <v>503</v>
      </c>
    </row>
    <row r="161" spans="1:19" ht="15" hidden="1" customHeight="1" x14ac:dyDescent="0.2">
      <c r="A161" s="25" t="s">
        <v>6</v>
      </c>
      <c r="B161" s="26" t="s">
        <v>503</v>
      </c>
      <c r="C161" s="26" t="s">
        <v>643</v>
      </c>
      <c r="D161" s="27" t="str">
        <f t="shared" si="15"/>
        <v>Presidência</v>
      </c>
      <c r="E161" s="27" t="str">
        <f t="shared" si="16"/>
        <v>Oi Soluções</v>
      </c>
      <c r="F161" s="27" t="str">
        <f t="shared" si="17"/>
        <v>Vendas Privado Nacional</v>
      </c>
      <c r="G161" s="27" t="str">
        <f t="shared" si="18"/>
        <v>Vendas Privado MG/ES</v>
      </c>
      <c r="H161" s="27" t="str">
        <f t="shared" si="19"/>
        <v>Vendas Privado MG/ES</v>
      </c>
      <c r="I161" s="27" t="str">
        <f t="shared" si="20"/>
        <v>Vendas Privado MG/ES</v>
      </c>
      <c r="J161" s="27" t="str">
        <f t="shared" si="21"/>
        <v>Vendas Privado MG/ES</v>
      </c>
      <c r="K161" s="28" t="s">
        <v>644</v>
      </c>
      <c r="L161" s="28">
        <v>14782</v>
      </c>
      <c r="M161" s="29" t="s">
        <v>645</v>
      </c>
      <c r="N161" s="28" t="s">
        <v>22</v>
      </c>
      <c r="O161" s="28" t="s">
        <v>646</v>
      </c>
      <c r="P161" s="28"/>
      <c r="Q161" s="28"/>
      <c r="R161" s="28" t="s">
        <v>35</v>
      </c>
      <c r="S161" s="28" t="s">
        <v>503</v>
      </c>
    </row>
    <row r="162" spans="1:19" ht="15" hidden="1" customHeight="1" x14ac:dyDescent="0.2">
      <c r="A162" s="25" t="s">
        <v>6</v>
      </c>
      <c r="B162" s="26" t="s">
        <v>503</v>
      </c>
      <c r="C162" s="26" t="s">
        <v>647</v>
      </c>
      <c r="D162" s="27" t="str">
        <f t="shared" si="15"/>
        <v>Presidência</v>
      </c>
      <c r="E162" s="27" t="str">
        <f t="shared" si="16"/>
        <v>Oi Soluções</v>
      </c>
      <c r="F162" s="27" t="str">
        <f t="shared" si="17"/>
        <v>Vendas Privado Nacional</v>
      </c>
      <c r="G162" s="27" t="str">
        <f t="shared" si="18"/>
        <v>Vendas Privado SP I</v>
      </c>
      <c r="H162" s="27" t="str">
        <f t="shared" si="19"/>
        <v>Vendas Privado SP I</v>
      </c>
      <c r="I162" s="27" t="str">
        <f t="shared" si="20"/>
        <v>Vendas Privado SP I</v>
      </c>
      <c r="J162" s="27" t="str">
        <f t="shared" si="21"/>
        <v>Vendas Privado SP I</v>
      </c>
      <c r="K162" s="56" t="s">
        <v>648</v>
      </c>
      <c r="M162" s="76" t="s">
        <v>66</v>
      </c>
      <c r="N162" s="58" t="s">
        <v>22</v>
      </c>
      <c r="O162" s="58" t="s">
        <v>649</v>
      </c>
      <c r="R162" s="58" t="s">
        <v>35</v>
      </c>
      <c r="S162" s="58" t="s">
        <v>503</v>
      </c>
    </row>
    <row r="163" spans="1:19" ht="15" hidden="1" customHeight="1" x14ac:dyDescent="0.2">
      <c r="A163" s="25" t="s">
        <v>6</v>
      </c>
      <c r="B163" s="26" t="s">
        <v>503</v>
      </c>
      <c r="C163" s="26" t="s">
        <v>650</v>
      </c>
      <c r="D163" s="27" t="str">
        <f t="shared" si="15"/>
        <v>Presidência</v>
      </c>
      <c r="E163" s="27" t="str">
        <f t="shared" si="16"/>
        <v>Oi Soluções</v>
      </c>
      <c r="F163" s="27" t="str">
        <f t="shared" si="17"/>
        <v>Vendas Privado Nacional</v>
      </c>
      <c r="G163" s="27" t="str">
        <f t="shared" si="18"/>
        <v>Vendas Privado CO/NO</v>
      </c>
      <c r="H163" s="27" t="str">
        <f t="shared" si="19"/>
        <v>Vendas Privado CO/NO</v>
      </c>
      <c r="I163" s="27" t="str">
        <f t="shared" si="20"/>
        <v>Vendas Privado CO/NO</v>
      </c>
      <c r="J163" s="27" t="str">
        <f t="shared" si="21"/>
        <v>Vendas Privado CO/NO</v>
      </c>
      <c r="K163" s="28" t="s">
        <v>651</v>
      </c>
      <c r="L163" s="28">
        <v>302078</v>
      </c>
      <c r="M163" s="57" t="s">
        <v>652</v>
      </c>
      <c r="N163" s="28" t="s">
        <v>22</v>
      </c>
      <c r="O163" s="28" t="s">
        <v>653</v>
      </c>
      <c r="P163" s="28"/>
      <c r="Q163" s="28"/>
      <c r="R163" s="28" t="s">
        <v>35</v>
      </c>
      <c r="S163" s="28" t="s">
        <v>503</v>
      </c>
    </row>
    <row r="164" spans="1:19" ht="15" hidden="1" customHeight="1" x14ac:dyDescent="0.2">
      <c r="A164" s="25" t="s">
        <v>6</v>
      </c>
      <c r="B164" s="26" t="s">
        <v>503</v>
      </c>
      <c r="C164" s="26" t="s">
        <v>654</v>
      </c>
      <c r="D164" s="27" t="str">
        <f t="shared" si="15"/>
        <v>Presidência</v>
      </c>
      <c r="E164" s="27" t="str">
        <f t="shared" si="16"/>
        <v>Oi Soluções</v>
      </c>
      <c r="F164" s="27" t="str">
        <f t="shared" si="17"/>
        <v>Vendas Privado Nacional</v>
      </c>
      <c r="G164" s="27" t="str">
        <f t="shared" si="18"/>
        <v>Vendas Privado SUL</v>
      </c>
      <c r="H164" s="27" t="str">
        <f t="shared" si="19"/>
        <v>Vendas Privado SUL</v>
      </c>
      <c r="I164" s="27" t="str">
        <f t="shared" si="20"/>
        <v>Vendas Privado SUL</v>
      </c>
      <c r="J164" s="27" t="str">
        <f t="shared" si="21"/>
        <v>Vendas Privado SUL</v>
      </c>
      <c r="K164" s="28" t="s">
        <v>655</v>
      </c>
      <c r="L164" s="28">
        <v>417200</v>
      </c>
      <c r="M164" s="29" t="s">
        <v>656</v>
      </c>
      <c r="N164" s="28" t="s">
        <v>22</v>
      </c>
      <c r="O164" s="28" t="s">
        <v>657</v>
      </c>
      <c r="P164" s="28"/>
      <c r="Q164" s="28"/>
      <c r="R164" s="28" t="s">
        <v>35</v>
      </c>
      <c r="S164" s="28" t="s">
        <v>503</v>
      </c>
    </row>
    <row r="165" spans="1:19" ht="15" hidden="1" customHeight="1" x14ac:dyDescent="0.2">
      <c r="A165" s="25" t="s">
        <v>6</v>
      </c>
      <c r="B165" s="26" t="s">
        <v>503</v>
      </c>
      <c r="C165" s="26" t="s">
        <v>658</v>
      </c>
      <c r="D165" s="27" t="str">
        <f t="shared" si="15"/>
        <v>Presidência</v>
      </c>
      <c r="E165" s="27" t="str">
        <f t="shared" si="16"/>
        <v>Oi Soluções</v>
      </c>
      <c r="F165" s="27" t="str">
        <f t="shared" si="17"/>
        <v>Vendas Privado Nacional</v>
      </c>
      <c r="G165" s="27" t="str">
        <f t="shared" si="18"/>
        <v>Vendas Finanças I</v>
      </c>
      <c r="H165" s="27" t="str">
        <f t="shared" si="19"/>
        <v>Vendas Finanças I</v>
      </c>
      <c r="I165" s="27" t="str">
        <f t="shared" si="20"/>
        <v>Vendas Finanças I</v>
      </c>
      <c r="J165" s="27" t="str">
        <f t="shared" si="21"/>
        <v>Vendas Finanças I</v>
      </c>
      <c r="K165" s="28" t="s">
        <v>659</v>
      </c>
      <c r="L165" s="28">
        <v>403674</v>
      </c>
      <c r="M165" s="29" t="s">
        <v>660</v>
      </c>
      <c r="N165" s="28" t="s">
        <v>22</v>
      </c>
      <c r="O165" s="28" t="s">
        <v>661</v>
      </c>
      <c r="P165" s="28"/>
      <c r="Q165" s="28"/>
      <c r="R165" s="28" t="s">
        <v>35</v>
      </c>
      <c r="S165" s="28" t="s">
        <v>503</v>
      </c>
    </row>
    <row r="166" spans="1:19" ht="15" hidden="1" customHeight="1" x14ac:dyDescent="0.2">
      <c r="A166" s="25" t="s">
        <v>6</v>
      </c>
      <c r="B166" s="26" t="s">
        <v>503</v>
      </c>
      <c r="C166" s="26" t="s">
        <v>662</v>
      </c>
      <c r="D166" s="27" t="str">
        <f t="shared" si="15"/>
        <v>Presidência</v>
      </c>
      <c r="E166" s="27" t="str">
        <f t="shared" si="16"/>
        <v>Oi Soluções</v>
      </c>
      <c r="F166" s="27" t="str">
        <f t="shared" si="17"/>
        <v>Vendas Privado Nacional</v>
      </c>
      <c r="G166" s="27" t="str">
        <f t="shared" si="18"/>
        <v>Vendas Finanças II</v>
      </c>
      <c r="H166" s="27" t="str">
        <f t="shared" si="19"/>
        <v>Vendas Finanças II</v>
      </c>
      <c r="I166" s="27" t="str">
        <f t="shared" si="20"/>
        <v>Vendas Finanças II</v>
      </c>
      <c r="J166" s="27" t="str">
        <f t="shared" si="21"/>
        <v>Vendas Finanças II</v>
      </c>
      <c r="K166" s="28" t="s">
        <v>663</v>
      </c>
      <c r="L166" s="28">
        <v>308456</v>
      </c>
      <c r="M166" s="29" t="s">
        <v>664</v>
      </c>
      <c r="N166" s="28" t="s">
        <v>22</v>
      </c>
      <c r="O166" s="28" t="s">
        <v>665</v>
      </c>
      <c r="P166" s="28"/>
      <c r="Q166" s="28"/>
      <c r="R166" s="28" t="s">
        <v>35</v>
      </c>
      <c r="S166" s="28" t="s">
        <v>503</v>
      </c>
    </row>
    <row r="167" spans="1:19" ht="15" hidden="1" customHeight="1" x14ac:dyDescent="0.2">
      <c r="A167" s="14" t="s">
        <v>5</v>
      </c>
      <c r="B167" s="15" t="s">
        <v>503</v>
      </c>
      <c r="C167" s="15" t="s">
        <v>666</v>
      </c>
      <c r="D167" s="16" t="str">
        <f t="shared" si="15"/>
        <v>Presidência</v>
      </c>
      <c r="E167" s="16" t="str">
        <f t="shared" si="16"/>
        <v>Oi Soluções</v>
      </c>
      <c r="F167" s="16" t="str">
        <f t="shared" si="17"/>
        <v>Vendas Governo Nacional</v>
      </c>
      <c r="G167" s="16" t="str">
        <f t="shared" si="18"/>
        <v>Vendas Governo Nacional</v>
      </c>
      <c r="H167" s="16" t="str">
        <f t="shared" si="19"/>
        <v>Vendas Governo Nacional</v>
      </c>
      <c r="I167" s="16" t="str">
        <f t="shared" si="20"/>
        <v>Vendas Governo Nacional</v>
      </c>
      <c r="J167" s="16" t="str">
        <f t="shared" si="21"/>
        <v>Vendas Governo Nacional</v>
      </c>
      <c r="K167" s="17" t="s">
        <v>667</v>
      </c>
      <c r="L167" s="17">
        <v>23096</v>
      </c>
      <c r="M167" s="18" t="s">
        <v>668</v>
      </c>
      <c r="N167" s="17" t="s">
        <v>22</v>
      </c>
      <c r="O167" s="17" t="s">
        <v>669</v>
      </c>
      <c r="P167" s="17"/>
      <c r="Q167" s="17"/>
      <c r="R167" s="17" t="s">
        <v>30</v>
      </c>
      <c r="S167" s="17" t="s">
        <v>503</v>
      </c>
    </row>
    <row r="168" spans="1:19" ht="15" hidden="1" customHeight="1" x14ac:dyDescent="0.2">
      <c r="A168" s="25" t="s">
        <v>6</v>
      </c>
      <c r="B168" s="26" t="s">
        <v>503</v>
      </c>
      <c r="C168" s="26" t="s">
        <v>670</v>
      </c>
      <c r="D168" s="27" t="str">
        <f t="shared" si="15"/>
        <v>Presidência</v>
      </c>
      <c r="E168" s="27" t="str">
        <f t="shared" si="16"/>
        <v>Oi Soluções</v>
      </c>
      <c r="F168" s="27" t="str">
        <f t="shared" si="17"/>
        <v>Vendas Governo Nacional</v>
      </c>
      <c r="G168" s="27" t="str">
        <f t="shared" si="18"/>
        <v>Vendas Governo DF</v>
      </c>
      <c r="H168" s="27" t="str">
        <f t="shared" si="19"/>
        <v>Vendas Governo DF</v>
      </c>
      <c r="I168" s="27" t="str">
        <f t="shared" si="20"/>
        <v>Vendas Governo DF</v>
      </c>
      <c r="J168" s="27" t="str">
        <f t="shared" si="21"/>
        <v>Vendas Governo DF</v>
      </c>
      <c r="K168" s="28" t="s">
        <v>671</v>
      </c>
      <c r="L168" s="28">
        <v>115103</v>
      </c>
      <c r="M168" s="29" t="s">
        <v>672</v>
      </c>
      <c r="N168" s="28" t="s">
        <v>22</v>
      </c>
      <c r="O168" s="28" t="s">
        <v>673</v>
      </c>
      <c r="P168" s="28"/>
      <c r="Q168" s="28"/>
      <c r="R168" s="28" t="s">
        <v>35</v>
      </c>
      <c r="S168" s="28" t="s">
        <v>503</v>
      </c>
    </row>
    <row r="169" spans="1:19" ht="15" hidden="1" customHeight="1" x14ac:dyDescent="0.2">
      <c r="A169" s="25" t="s">
        <v>6</v>
      </c>
      <c r="B169" s="26" t="s">
        <v>503</v>
      </c>
      <c r="C169" s="26" t="s">
        <v>674</v>
      </c>
      <c r="D169" s="27" t="str">
        <f t="shared" si="15"/>
        <v>Presidência</v>
      </c>
      <c r="E169" s="27" t="str">
        <f t="shared" si="16"/>
        <v>Oi Soluções</v>
      </c>
      <c r="F169" s="27" t="str">
        <f t="shared" si="17"/>
        <v>Vendas Governo Nacional</v>
      </c>
      <c r="G169" s="27" t="str">
        <f t="shared" si="18"/>
        <v>Vendas Governo AC/RO/MT/MS/GO/TO</v>
      </c>
      <c r="H169" s="27" t="str">
        <f t="shared" si="19"/>
        <v>Vendas Governo AC/RO/MT/MS/GO/TO</v>
      </c>
      <c r="I169" s="27" t="str">
        <f t="shared" si="20"/>
        <v>Vendas Governo AC/RO/MT/MS/GO/TO</v>
      </c>
      <c r="J169" s="27" t="str">
        <f t="shared" si="21"/>
        <v>Vendas Governo AC/RO/MT/MS/GO/TO</v>
      </c>
      <c r="K169" s="28" t="s">
        <v>675</v>
      </c>
      <c r="L169" s="28">
        <v>301752</v>
      </c>
      <c r="M169" s="29" t="s">
        <v>676</v>
      </c>
      <c r="N169" s="28" t="s">
        <v>22</v>
      </c>
      <c r="O169" s="28" t="s">
        <v>677</v>
      </c>
      <c r="P169" s="28"/>
      <c r="Q169" s="28"/>
      <c r="R169" s="28" t="s">
        <v>35</v>
      </c>
      <c r="S169" s="28" t="s">
        <v>503</v>
      </c>
    </row>
    <row r="170" spans="1:19" ht="15" hidden="1" customHeight="1" x14ac:dyDescent="0.2">
      <c r="A170" s="25" t="s">
        <v>6</v>
      </c>
      <c r="B170" s="26" t="s">
        <v>503</v>
      </c>
      <c r="C170" s="26" t="s">
        <v>678</v>
      </c>
      <c r="D170" s="27" t="str">
        <f t="shared" si="15"/>
        <v>Presidência</v>
      </c>
      <c r="E170" s="27" t="str">
        <f t="shared" si="16"/>
        <v>Oi Soluções</v>
      </c>
      <c r="F170" s="27" t="str">
        <f t="shared" si="17"/>
        <v>Vendas Governo Nacional</v>
      </c>
      <c r="G170" s="27" t="str">
        <f t="shared" si="18"/>
        <v>Vendas Governo MG/ES/RJ</v>
      </c>
      <c r="H170" s="27" t="str">
        <f t="shared" si="19"/>
        <v>Vendas Governo MG/ES/RJ</v>
      </c>
      <c r="I170" s="27" t="str">
        <f t="shared" si="20"/>
        <v>Vendas Governo MG/ES/RJ</v>
      </c>
      <c r="J170" s="27" t="str">
        <f t="shared" si="21"/>
        <v>Vendas Governo MG/ES/RJ</v>
      </c>
      <c r="K170" s="28" t="s">
        <v>679</v>
      </c>
      <c r="L170" s="28">
        <v>368102</v>
      </c>
      <c r="M170" s="29" t="s">
        <v>680</v>
      </c>
      <c r="N170" s="28" t="s">
        <v>22</v>
      </c>
      <c r="O170" s="28" t="s">
        <v>681</v>
      </c>
      <c r="P170" s="28"/>
      <c r="Q170" s="28"/>
      <c r="R170" s="28" t="s">
        <v>35</v>
      </c>
      <c r="S170" s="28" t="s">
        <v>503</v>
      </c>
    </row>
    <row r="171" spans="1:19" ht="15" hidden="1" customHeight="1" x14ac:dyDescent="0.2">
      <c r="A171" s="25" t="s">
        <v>6</v>
      </c>
      <c r="B171" s="26" t="s">
        <v>503</v>
      </c>
      <c r="C171" s="26" t="s">
        <v>682</v>
      </c>
      <c r="D171" s="27" t="str">
        <f t="shared" si="15"/>
        <v>Presidência</v>
      </c>
      <c r="E171" s="27" t="str">
        <f t="shared" si="16"/>
        <v>Oi Soluções</v>
      </c>
      <c r="F171" s="27" t="str">
        <f t="shared" si="17"/>
        <v>Vendas Governo Nacional</v>
      </c>
      <c r="G171" s="27" t="str">
        <f t="shared" si="18"/>
        <v>Vendas Governo SP/SUL</v>
      </c>
      <c r="H171" s="27" t="str">
        <f t="shared" si="19"/>
        <v>Vendas Governo SP/SUL</v>
      </c>
      <c r="I171" s="27" t="str">
        <f t="shared" si="20"/>
        <v>Vendas Governo SP/SUL</v>
      </c>
      <c r="J171" s="27" t="str">
        <f t="shared" si="21"/>
        <v>Vendas Governo SP/SUL</v>
      </c>
      <c r="K171" s="28" t="s">
        <v>683</v>
      </c>
      <c r="L171" s="28">
        <v>417889</v>
      </c>
      <c r="M171" s="29" t="s">
        <v>684</v>
      </c>
      <c r="N171" s="28" t="s">
        <v>22</v>
      </c>
      <c r="O171" s="28" t="s">
        <v>685</v>
      </c>
      <c r="P171" s="28"/>
      <c r="Q171" s="28"/>
      <c r="R171" s="28" t="s">
        <v>35</v>
      </c>
      <c r="S171" s="28" t="s">
        <v>503</v>
      </c>
    </row>
    <row r="172" spans="1:19" ht="15" hidden="1" customHeight="1" x14ac:dyDescent="0.2">
      <c r="A172" s="25" t="s">
        <v>6</v>
      </c>
      <c r="B172" s="26" t="s">
        <v>503</v>
      </c>
      <c r="C172" s="26" t="s">
        <v>686</v>
      </c>
      <c r="D172" s="27" t="str">
        <f t="shared" si="15"/>
        <v>Presidência</v>
      </c>
      <c r="E172" s="27" t="str">
        <f t="shared" si="16"/>
        <v>Oi Soluções</v>
      </c>
      <c r="F172" s="27" t="str">
        <f t="shared" si="17"/>
        <v>Vendas Governo Nacional</v>
      </c>
      <c r="G172" s="27" t="str">
        <f t="shared" si="18"/>
        <v>Vendas Governo AL/PB/PE/RN</v>
      </c>
      <c r="H172" s="27" t="str">
        <f t="shared" si="19"/>
        <v>Vendas Governo AL/PB/PE/RN</v>
      </c>
      <c r="I172" s="27" t="str">
        <f t="shared" si="20"/>
        <v>Vendas Governo AL/PB/PE/RN</v>
      </c>
      <c r="J172" s="27" t="str">
        <f t="shared" si="21"/>
        <v>Vendas Governo AL/PB/PE/RN</v>
      </c>
      <c r="K172" s="28" t="s">
        <v>687</v>
      </c>
      <c r="L172" s="28">
        <v>61585</v>
      </c>
      <c r="M172" s="29" t="s">
        <v>688</v>
      </c>
      <c r="N172" s="28" t="s">
        <v>22</v>
      </c>
      <c r="O172" s="28" t="s">
        <v>689</v>
      </c>
      <c r="P172" s="28"/>
      <c r="Q172" s="28"/>
      <c r="R172" s="28" t="s">
        <v>35</v>
      </c>
      <c r="S172" s="28" t="s">
        <v>503</v>
      </c>
    </row>
    <row r="173" spans="1:19" ht="15" hidden="1" customHeight="1" x14ac:dyDescent="0.2">
      <c r="A173" s="25" t="s">
        <v>6</v>
      </c>
      <c r="B173" s="26" t="s">
        <v>503</v>
      </c>
      <c r="C173" s="26" t="s">
        <v>690</v>
      </c>
      <c r="D173" s="27" t="str">
        <f t="shared" si="15"/>
        <v>Presidência</v>
      </c>
      <c r="E173" s="27" t="str">
        <f t="shared" si="16"/>
        <v>Oi Soluções</v>
      </c>
      <c r="F173" s="27" t="str">
        <f t="shared" si="17"/>
        <v>Vendas Governo Nacional</v>
      </c>
      <c r="G173" s="27" t="str">
        <f t="shared" si="18"/>
        <v>Vendas Governo AM/AP/PA/RR/CE/PI/MA</v>
      </c>
      <c r="H173" s="27" t="str">
        <f t="shared" si="19"/>
        <v>Vendas Governo AM/AP/PA/RR/CE/PI/MA</v>
      </c>
      <c r="I173" s="27" t="str">
        <f t="shared" si="20"/>
        <v>Vendas Governo AM/AP/PA/RR/CE/PI/MA</v>
      </c>
      <c r="J173" s="27" t="str">
        <f t="shared" si="21"/>
        <v>Vendas Governo AM/AP/PA/RR/CE/PI/MA</v>
      </c>
      <c r="K173" s="28" t="s">
        <v>691</v>
      </c>
      <c r="L173" s="28">
        <v>25207</v>
      </c>
      <c r="M173" s="29" t="s">
        <v>692</v>
      </c>
      <c r="N173" s="28" t="s">
        <v>22</v>
      </c>
      <c r="O173" s="28" t="s">
        <v>693</v>
      </c>
      <c r="P173" s="28"/>
      <c r="Q173" s="28"/>
      <c r="R173" s="28" t="s">
        <v>35</v>
      </c>
      <c r="S173" s="28" t="s">
        <v>503</v>
      </c>
    </row>
    <row r="174" spans="1:19" ht="15" hidden="1" customHeight="1" x14ac:dyDescent="0.2">
      <c r="A174" s="25" t="s">
        <v>6</v>
      </c>
      <c r="B174" s="26" t="s">
        <v>503</v>
      </c>
      <c r="C174" s="26" t="s">
        <v>694</v>
      </c>
      <c r="D174" s="27" t="str">
        <f t="shared" si="15"/>
        <v>Presidência</v>
      </c>
      <c r="E174" s="27" t="str">
        <f t="shared" si="16"/>
        <v>Oi Soluções</v>
      </c>
      <c r="F174" s="27" t="str">
        <f t="shared" si="17"/>
        <v>Vendas Governo Nacional</v>
      </c>
      <c r="G174" s="27" t="str">
        <f t="shared" si="18"/>
        <v>Vendas Governo BA/SE</v>
      </c>
      <c r="H174" s="27" t="str">
        <f t="shared" si="19"/>
        <v>Vendas Governo BA/SE</v>
      </c>
      <c r="I174" s="27" t="str">
        <f t="shared" si="20"/>
        <v>Vendas Governo BA/SE</v>
      </c>
      <c r="J174" s="27" t="str">
        <f t="shared" si="21"/>
        <v>Vendas Governo BA/SE</v>
      </c>
      <c r="K174" s="28" t="s">
        <v>695</v>
      </c>
      <c r="L174" s="28">
        <v>22240</v>
      </c>
      <c r="M174" s="29" t="s">
        <v>696</v>
      </c>
      <c r="N174" s="28" t="s">
        <v>22</v>
      </c>
      <c r="O174" s="28" t="s">
        <v>697</v>
      </c>
      <c r="P174" s="28"/>
      <c r="Q174" s="28"/>
      <c r="R174" s="28" t="s">
        <v>35</v>
      </c>
      <c r="S174" s="28" t="s">
        <v>503</v>
      </c>
    </row>
    <row r="175" spans="1:19" ht="15" hidden="1" customHeight="1" x14ac:dyDescent="0.2">
      <c r="A175" s="14" t="s">
        <v>5</v>
      </c>
      <c r="B175" s="15" t="s">
        <v>503</v>
      </c>
      <c r="C175" s="15" t="s">
        <v>698</v>
      </c>
      <c r="D175" s="16" t="str">
        <f t="shared" si="15"/>
        <v>Presidência</v>
      </c>
      <c r="E175" s="16" t="str">
        <f t="shared" si="16"/>
        <v>Oi Soluções</v>
      </c>
      <c r="F175" s="16" t="str">
        <f t="shared" si="17"/>
        <v>Go To Market e Parcerias</v>
      </c>
      <c r="G175" s="16" t="str">
        <f t="shared" si="18"/>
        <v>Go To Market e Parcerias</v>
      </c>
      <c r="H175" s="16" t="str">
        <f t="shared" si="19"/>
        <v>Go To Market e Parcerias</v>
      </c>
      <c r="I175" s="16" t="str">
        <f t="shared" si="20"/>
        <v>Go To Market e Parcerias</v>
      </c>
      <c r="J175" s="16" t="str">
        <f t="shared" si="21"/>
        <v>Go To Market e Parcerias</v>
      </c>
      <c r="K175" s="17" t="s">
        <v>699</v>
      </c>
      <c r="L175" s="17">
        <v>87300</v>
      </c>
      <c r="M175" s="18" t="s">
        <v>700</v>
      </c>
      <c r="N175" s="17" t="s">
        <v>22</v>
      </c>
      <c r="O175" s="17" t="s">
        <v>701</v>
      </c>
      <c r="P175" s="17"/>
      <c r="Q175" s="17"/>
      <c r="R175" s="17" t="s">
        <v>35</v>
      </c>
      <c r="S175" s="17" t="s">
        <v>503</v>
      </c>
    </row>
    <row r="176" spans="1:19" ht="15" hidden="1" customHeight="1" x14ac:dyDescent="0.2">
      <c r="A176" s="14" t="s">
        <v>5</v>
      </c>
      <c r="B176" s="15" t="s">
        <v>503</v>
      </c>
      <c r="C176" s="15" t="s">
        <v>702</v>
      </c>
      <c r="D176" s="16" t="str">
        <f t="shared" si="15"/>
        <v>Presidência</v>
      </c>
      <c r="E176" s="16" t="str">
        <f t="shared" si="16"/>
        <v>Oi Soluções</v>
      </c>
      <c r="F176" s="16" t="str">
        <f t="shared" si="17"/>
        <v>Relacionamento e Gestão de Provedores</v>
      </c>
      <c r="G176" s="16" t="str">
        <f t="shared" si="18"/>
        <v>Relacionamento e Gestão de Provedores</v>
      </c>
      <c r="H176" s="16" t="str">
        <f t="shared" si="19"/>
        <v>Relacionamento e Gestão de Provedores</v>
      </c>
      <c r="I176" s="16" t="str">
        <f t="shared" si="20"/>
        <v>Relacionamento e Gestão de Provedores</v>
      </c>
      <c r="J176" s="16" t="str">
        <f t="shared" si="21"/>
        <v>Relacionamento e Gestão de Provedores</v>
      </c>
      <c r="K176" s="17" t="s">
        <v>703</v>
      </c>
      <c r="L176" s="17"/>
      <c r="M176" s="24" t="s">
        <v>66</v>
      </c>
      <c r="N176" s="17" t="s">
        <v>22</v>
      </c>
      <c r="O176" s="17" t="s">
        <v>704</v>
      </c>
      <c r="P176" s="17"/>
      <c r="Q176" s="17"/>
      <c r="R176" s="17" t="s">
        <v>35</v>
      </c>
      <c r="S176" s="17" t="s">
        <v>503</v>
      </c>
    </row>
    <row r="177" spans="1:19" ht="15" hidden="1" customHeight="1" x14ac:dyDescent="0.2">
      <c r="A177" s="14" t="s">
        <v>5</v>
      </c>
      <c r="B177" s="15" t="s">
        <v>503</v>
      </c>
      <c r="C177" s="15" t="s">
        <v>705</v>
      </c>
      <c r="D177" s="16" t="str">
        <f t="shared" si="15"/>
        <v>Presidência</v>
      </c>
      <c r="E177" s="16" t="str">
        <f t="shared" si="16"/>
        <v>Oi Soluções</v>
      </c>
      <c r="F177" s="16" t="str">
        <f t="shared" si="17"/>
        <v>Novos Negócios e Interconexão Atacado</v>
      </c>
      <c r="G177" s="16" t="str">
        <f t="shared" si="18"/>
        <v>Novos Negócios e Interconexão Atacado</v>
      </c>
      <c r="H177" s="16" t="str">
        <f t="shared" si="19"/>
        <v>Novos Negócios e Interconexão Atacado</v>
      </c>
      <c r="I177" s="16" t="str">
        <f t="shared" si="20"/>
        <v>Novos Negócios e Interconexão Atacado</v>
      </c>
      <c r="J177" s="16" t="str">
        <f t="shared" si="21"/>
        <v>Novos Negócios e Interconexão Atacado</v>
      </c>
      <c r="K177" s="42" t="s">
        <v>706</v>
      </c>
      <c r="L177" s="42">
        <v>413317</v>
      </c>
      <c r="M177" s="39" t="s">
        <v>707</v>
      </c>
      <c r="N177" s="17" t="s">
        <v>22</v>
      </c>
      <c r="O177" s="17" t="s">
        <v>708</v>
      </c>
      <c r="P177" s="17"/>
      <c r="Q177" s="17"/>
      <c r="R177" s="17" t="s">
        <v>35</v>
      </c>
      <c r="S177" s="17" t="s">
        <v>124</v>
      </c>
    </row>
    <row r="178" spans="1:19" ht="15" customHeight="1" x14ac:dyDescent="0.2">
      <c r="A178" s="59" t="s">
        <v>4</v>
      </c>
      <c r="B178" s="60" t="s">
        <v>709</v>
      </c>
      <c r="C178" s="60" t="s">
        <v>709</v>
      </c>
      <c r="D178" s="61" t="str">
        <f t="shared" si="15"/>
        <v>Presidência</v>
      </c>
      <c r="E178" s="61" t="str">
        <f t="shared" si="16"/>
        <v>Operações de Rede e SI</v>
      </c>
      <c r="F178" s="61" t="str">
        <f t="shared" si="17"/>
        <v>Operações de Rede e SI</v>
      </c>
      <c r="G178" s="61" t="str">
        <f t="shared" si="18"/>
        <v>Operações de Rede e SI</v>
      </c>
      <c r="H178" s="61" t="str">
        <f t="shared" si="19"/>
        <v>Operações de Rede e SI</v>
      </c>
      <c r="I178" s="61" t="str">
        <f t="shared" si="20"/>
        <v>Operações de Rede e SI</v>
      </c>
      <c r="J178" s="61" t="str">
        <f t="shared" si="21"/>
        <v>Operações de Rede e SI</v>
      </c>
      <c r="K178" s="62" t="s">
        <v>710</v>
      </c>
      <c r="L178" s="62">
        <v>303322</v>
      </c>
      <c r="M178" s="63" t="s">
        <v>711</v>
      </c>
      <c r="N178" s="62" t="s">
        <v>22</v>
      </c>
      <c r="O178" s="62" t="s">
        <v>712</v>
      </c>
      <c r="P178" s="62"/>
      <c r="Q178" s="62"/>
      <c r="R178" s="62" t="s">
        <v>30</v>
      </c>
      <c r="S178" s="62" t="s">
        <v>25</v>
      </c>
    </row>
    <row r="179" spans="1:19" ht="15" hidden="1" customHeight="1" collapsed="1" x14ac:dyDescent="0.2">
      <c r="A179" s="14" t="s">
        <v>5</v>
      </c>
      <c r="B179" s="15" t="s">
        <v>709</v>
      </c>
      <c r="C179" s="15" t="s">
        <v>713</v>
      </c>
      <c r="D179" s="16" t="str">
        <f t="shared" si="15"/>
        <v>Presidência</v>
      </c>
      <c r="E179" s="16" t="str">
        <f t="shared" si="16"/>
        <v>Operações de Rede e SI</v>
      </c>
      <c r="F179" s="16" t="str">
        <f t="shared" si="17"/>
        <v>Segurança da Informação</v>
      </c>
      <c r="G179" s="16" t="str">
        <f t="shared" si="18"/>
        <v>Segurança da Informação</v>
      </c>
      <c r="H179" s="16" t="str">
        <f t="shared" si="19"/>
        <v>Segurança da Informação</v>
      </c>
      <c r="I179" s="16" t="str">
        <f t="shared" si="20"/>
        <v>Segurança da Informação</v>
      </c>
      <c r="J179" s="16" t="str">
        <f t="shared" si="21"/>
        <v>Segurança da Informação</v>
      </c>
      <c r="K179" s="42" t="s">
        <v>714</v>
      </c>
      <c r="L179" s="42">
        <v>299509</v>
      </c>
      <c r="M179" s="39" t="s">
        <v>715</v>
      </c>
      <c r="N179" s="17" t="s">
        <v>22</v>
      </c>
      <c r="O179" s="17" t="s">
        <v>716</v>
      </c>
      <c r="P179" s="17"/>
      <c r="Q179" s="17"/>
      <c r="R179" s="17" t="s">
        <v>30</v>
      </c>
      <c r="S179" s="17" t="s">
        <v>25</v>
      </c>
    </row>
    <row r="180" spans="1:19" ht="15" hidden="1" customHeight="1" x14ac:dyDescent="0.2">
      <c r="A180" s="25" t="s">
        <v>6</v>
      </c>
      <c r="B180" s="26" t="s">
        <v>709</v>
      </c>
      <c r="C180" s="26" t="s">
        <v>717</v>
      </c>
      <c r="D180" s="27" t="str">
        <f t="shared" si="15"/>
        <v>Presidência</v>
      </c>
      <c r="E180" s="27" t="str">
        <f t="shared" si="16"/>
        <v>Operações de Rede e SI</v>
      </c>
      <c r="F180" s="27" t="str">
        <f t="shared" si="17"/>
        <v>Segurança da Informação</v>
      </c>
      <c r="G180" s="27" t="str">
        <f t="shared" si="18"/>
        <v>Segurança de Sistemas e Infraestrutura</v>
      </c>
      <c r="H180" s="27" t="str">
        <f t="shared" si="19"/>
        <v>Segurança de Sistemas e Infraestrutura</v>
      </c>
      <c r="I180" s="27" t="str">
        <f t="shared" si="20"/>
        <v>Segurança de Sistemas e Infraestrutura</v>
      </c>
      <c r="J180" s="27" t="str">
        <f t="shared" si="21"/>
        <v>Segurança de Sistemas e Infraestrutura</v>
      </c>
      <c r="K180" s="43" t="s">
        <v>718</v>
      </c>
      <c r="L180" s="43">
        <v>312558</v>
      </c>
      <c r="M180" s="29" t="s">
        <v>719</v>
      </c>
      <c r="N180" s="28" t="s">
        <v>22</v>
      </c>
      <c r="O180" s="28" t="s">
        <v>720</v>
      </c>
      <c r="P180" s="28"/>
      <c r="Q180" s="28"/>
      <c r="R180" s="28" t="s">
        <v>35</v>
      </c>
      <c r="S180" s="28" t="s">
        <v>25</v>
      </c>
    </row>
    <row r="181" spans="1:19" ht="15" hidden="1" customHeight="1" x14ac:dyDescent="0.2">
      <c r="A181" s="25" t="s">
        <v>6</v>
      </c>
      <c r="B181" s="26" t="s">
        <v>709</v>
      </c>
      <c r="C181" s="26" t="s">
        <v>721</v>
      </c>
      <c r="D181" s="27" t="str">
        <f t="shared" si="15"/>
        <v>Presidência</v>
      </c>
      <c r="E181" s="27" t="str">
        <f t="shared" si="16"/>
        <v>Operações de Rede e SI</v>
      </c>
      <c r="F181" s="27" t="str">
        <f t="shared" si="17"/>
        <v>Segurança da Informação</v>
      </c>
      <c r="G181" s="27" t="str">
        <f t="shared" si="18"/>
        <v>Serviços de Tecnologia e Segurança da informação</v>
      </c>
      <c r="H181" s="27" t="str">
        <f t="shared" si="19"/>
        <v>Serviços de Tecnologia e Segurança da informação</v>
      </c>
      <c r="I181" s="27" t="str">
        <f t="shared" si="20"/>
        <v>Serviços de Tecnologia e Segurança da informação</v>
      </c>
      <c r="J181" s="27" t="str">
        <f t="shared" si="21"/>
        <v>Serviços de Tecnologia e Segurança da informação</v>
      </c>
      <c r="K181" s="43" t="s">
        <v>722</v>
      </c>
      <c r="L181" s="43">
        <v>403600</v>
      </c>
      <c r="M181" s="29" t="s">
        <v>723</v>
      </c>
      <c r="N181" s="28" t="s">
        <v>22</v>
      </c>
      <c r="O181" s="28" t="s">
        <v>724</v>
      </c>
      <c r="P181" s="28"/>
      <c r="Q181" s="28"/>
      <c r="R181" s="28" t="s">
        <v>35</v>
      </c>
      <c r="S181" s="28" t="s">
        <v>503</v>
      </c>
    </row>
    <row r="182" spans="1:19" ht="15" hidden="1" customHeight="1" collapsed="1" x14ac:dyDescent="0.2">
      <c r="A182" s="14" t="s">
        <v>5</v>
      </c>
      <c r="B182" s="15" t="s">
        <v>709</v>
      </c>
      <c r="C182" s="15" t="s">
        <v>725</v>
      </c>
      <c r="D182" s="16" t="str">
        <f t="shared" si="15"/>
        <v>Presidência</v>
      </c>
      <c r="E182" s="16" t="str">
        <f t="shared" si="16"/>
        <v>Operações de Rede e SI</v>
      </c>
      <c r="F182" s="16" t="str">
        <f t="shared" si="17"/>
        <v>Operações B2B</v>
      </c>
      <c r="G182" s="16" t="str">
        <f t="shared" si="18"/>
        <v>Operações B2B</v>
      </c>
      <c r="H182" s="16" t="str">
        <f t="shared" si="19"/>
        <v>Operações B2B</v>
      </c>
      <c r="I182" s="16" t="str">
        <f t="shared" si="20"/>
        <v>Operações B2B</v>
      </c>
      <c r="J182" s="16" t="str">
        <f t="shared" si="21"/>
        <v>Operações B2B</v>
      </c>
      <c r="K182" s="42" t="s">
        <v>726</v>
      </c>
      <c r="L182" s="42">
        <v>123305</v>
      </c>
      <c r="M182" s="39" t="s">
        <v>727</v>
      </c>
      <c r="N182" s="17" t="s">
        <v>381</v>
      </c>
      <c r="O182" s="17" t="s">
        <v>728</v>
      </c>
      <c r="P182" s="17"/>
      <c r="Q182" s="17" t="s">
        <v>729</v>
      </c>
      <c r="R182" s="17" t="s">
        <v>30</v>
      </c>
      <c r="S182" s="17" t="s">
        <v>503</v>
      </c>
    </row>
    <row r="183" spans="1:19" ht="15" hidden="1" customHeight="1" x14ac:dyDescent="0.2">
      <c r="A183" s="25" t="s">
        <v>6</v>
      </c>
      <c r="B183" s="26" t="s">
        <v>709</v>
      </c>
      <c r="C183" s="26" t="s">
        <v>730</v>
      </c>
      <c r="D183" s="27" t="str">
        <f t="shared" si="15"/>
        <v>Presidência</v>
      </c>
      <c r="E183" s="27" t="str">
        <f t="shared" si="16"/>
        <v>Operações de Rede e SI</v>
      </c>
      <c r="F183" s="27" t="str">
        <f t="shared" si="17"/>
        <v>Operações B2B</v>
      </c>
      <c r="G183" s="27" t="str">
        <f t="shared" si="18"/>
        <v>Atendimento Personalizado</v>
      </c>
      <c r="H183" s="27" t="str">
        <f t="shared" si="19"/>
        <v>Atendimento Personalizado</v>
      </c>
      <c r="I183" s="27" t="str">
        <f t="shared" si="20"/>
        <v>Atendimento Personalizado</v>
      </c>
      <c r="J183" s="27" t="str">
        <f t="shared" si="21"/>
        <v>Atendimento Personalizado</v>
      </c>
      <c r="K183" s="43" t="s">
        <v>731</v>
      </c>
      <c r="L183" s="43">
        <v>123416</v>
      </c>
      <c r="M183" s="29" t="s">
        <v>732</v>
      </c>
      <c r="N183" s="28" t="s">
        <v>22</v>
      </c>
      <c r="O183" s="28" t="s">
        <v>733</v>
      </c>
      <c r="P183" s="28"/>
      <c r="Q183" s="28"/>
      <c r="R183" s="28" t="s">
        <v>35</v>
      </c>
      <c r="S183" s="28" t="s">
        <v>503</v>
      </c>
    </row>
    <row r="184" spans="1:19" ht="15" hidden="1" customHeight="1" x14ac:dyDescent="0.2">
      <c r="A184" s="25" t="s">
        <v>6</v>
      </c>
      <c r="B184" s="26" t="s">
        <v>709</v>
      </c>
      <c r="C184" s="26" t="s">
        <v>734</v>
      </c>
      <c r="D184" s="27" t="str">
        <f t="shared" si="15"/>
        <v>Presidência</v>
      </c>
      <c r="E184" s="27" t="str">
        <f t="shared" si="16"/>
        <v>Operações de Rede e SI</v>
      </c>
      <c r="F184" s="27" t="str">
        <f t="shared" si="17"/>
        <v>Operações B2B</v>
      </c>
      <c r="G184" s="27" t="str">
        <f t="shared" si="18"/>
        <v>Atendimento Premium</v>
      </c>
      <c r="H184" s="27" t="str">
        <f t="shared" si="19"/>
        <v>Atendimento Premium</v>
      </c>
      <c r="I184" s="27" t="str">
        <f t="shared" si="20"/>
        <v>Atendimento Premium</v>
      </c>
      <c r="J184" s="27" t="str">
        <f t="shared" si="21"/>
        <v>Atendimento Premium</v>
      </c>
      <c r="K184" s="43" t="s">
        <v>735</v>
      </c>
      <c r="L184" s="43">
        <v>302159</v>
      </c>
      <c r="M184" s="29" t="s">
        <v>736</v>
      </c>
      <c r="N184" s="28" t="s">
        <v>22</v>
      </c>
      <c r="O184" s="28" t="s">
        <v>737</v>
      </c>
      <c r="P184" s="28"/>
      <c r="Q184" s="28"/>
      <c r="R184" s="28" t="s">
        <v>35</v>
      </c>
      <c r="S184" s="28" t="s">
        <v>503</v>
      </c>
    </row>
    <row r="185" spans="1:19" ht="15" hidden="1" customHeight="1" x14ac:dyDescent="0.2">
      <c r="A185" s="25" t="s">
        <v>6</v>
      </c>
      <c r="B185" s="26" t="s">
        <v>709</v>
      </c>
      <c r="C185" s="26" t="s">
        <v>738</v>
      </c>
      <c r="D185" s="27" t="str">
        <f t="shared" si="15"/>
        <v>Presidência</v>
      </c>
      <c r="E185" s="27" t="str">
        <f t="shared" si="16"/>
        <v>Operações de Rede e SI</v>
      </c>
      <c r="F185" s="27" t="str">
        <f t="shared" si="17"/>
        <v>Operações B2B</v>
      </c>
      <c r="G185" s="27" t="str">
        <f t="shared" si="18"/>
        <v>Atendimento Especializado B2B</v>
      </c>
      <c r="H185" s="27" t="str">
        <f t="shared" si="19"/>
        <v>Atendimento Especializado B2B</v>
      </c>
      <c r="I185" s="27" t="str">
        <f t="shared" si="20"/>
        <v>Atendimento Especializado B2B</v>
      </c>
      <c r="J185" s="27" t="str">
        <f t="shared" si="21"/>
        <v>Atendimento Especializado B2B</v>
      </c>
      <c r="K185" s="43" t="s">
        <v>739</v>
      </c>
      <c r="L185" s="43">
        <v>17846</v>
      </c>
      <c r="M185" s="29" t="s">
        <v>740</v>
      </c>
      <c r="N185" s="28" t="s">
        <v>22</v>
      </c>
      <c r="O185" s="28" t="s">
        <v>741</v>
      </c>
      <c r="P185" s="28"/>
      <c r="Q185" s="28"/>
      <c r="R185" s="28" t="s">
        <v>35</v>
      </c>
      <c r="S185" s="28" t="s">
        <v>503</v>
      </c>
    </row>
    <row r="186" spans="1:19" ht="15" hidden="1" customHeight="1" x14ac:dyDescent="0.2">
      <c r="A186" s="25" t="s">
        <v>6</v>
      </c>
      <c r="B186" s="26" t="s">
        <v>709</v>
      </c>
      <c r="C186" s="26" t="s">
        <v>742</v>
      </c>
      <c r="D186" s="27" t="str">
        <f t="shared" si="15"/>
        <v>Presidência</v>
      </c>
      <c r="E186" s="27" t="str">
        <f t="shared" si="16"/>
        <v>Operações de Rede e SI</v>
      </c>
      <c r="F186" s="27" t="str">
        <f t="shared" si="17"/>
        <v>Operações B2B</v>
      </c>
      <c r="G186" s="27" t="str">
        <f t="shared" si="18"/>
        <v>Operação de Terceiros</v>
      </c>
      <c r="H186" s="27" t="str">
        <f t="shared" si="19"/>
        <v>Operação de Terceiros</v>
      </c>
      <c r="I186" s="27" t="str">
        <f t="shared" si="20"/>
        <v>Operação de Terceiros</v>
      </c>
      <c r="J186" s="27" t="str">
        <f t="shared" si="21"/>
        <v>Operação de Terceiros</v>
      </c>
      <c r="K186" s="43" t="s">
        <v>743</v>
      </c>
      <c r="L186" s="43">
        <v>42230</v>
      </c>
      <c r="M186" s="29" t="s">
        <v>744</v>
      </c>
      <c r="N186" s="28" t="s">
        <v>381</v>
      </c>
      <c r="O186" s="28" t="s">
        <v>745</v>
      </c>
      <c r="P186" s="28"/>
      <c r="Q186" s="28" t="s">
        <v>729</v>
      </c>
      <c r="R186" s="28" t="s">
        <v>35</v>
      </c>
      <c r="S186" s="28" t="s">
        <v>503</v>
      </c>
    </row>
    <row r="187" spans="1:19" ht="15" hidden="1" customHeight="1" collapsed="1" x14ac:dyDescent="0.2">
      <c r="A187" s="14" t="s">
        <v>5</v>
      </c>
      <c r="B187" s="15" t="s">
        <v>709</v>
      </c>
      <c r="C187" s="15" t="s">
        <v>746</v>
      </c>
      <c r="D187" s="16" t="str">
        <f t="shared" si="15"/>
        <v>Presidência</v>
      </c>
      <c r="E187" s="16" t="str">
        <f t="shared" si="16"/>
        <v>Operações de Rede e SI</v>
      </c>
      <c r="F187" s="16" t="str">
        <f t="shared" si="17"/>
        <v>Soluções e Projetos</v>
      </c>
      <c r="G187" s="16" t="str">
        <f t="shared" si="18"/>
        <v>Soluções e Projetos</v>
      </c>
      <c r="H187" s="16" t="str">
        <f t="shared" si="19"/>
        <v>Soluções e Projetos</v>
      </c>
      <c r="I187" s="16" t="str">
        <f t="shared" si="20"/>
        <v>Soluções e Projetos</v>
      </c>
      <c r="J187" s="16" t="str">
        <f t="shared" si="21"/>
        <v>Soluções e Projetos</v>
      </c>
      <c r="K187" s="42" t="s">
        <v>747</v>
      </c>
      <c r="L187" s="42">
        <v>263364</v>
      </c>
      <c r="M187" s="39" t="s">
        <v>748</v>
      </c>
      <c r="N187" s="17" t="s">
        <v>749</v>
      </c>
      <c r="O187" s="17"/>
      <c r="P187" s="17"/>
      <c r="Q187" s="17" t="s">
        <v>750</v>
      </c>
      <c r="R187" s="17" t="s">
        <v>30</v>
      </c>
      <c r="S187" s="17" t="s">
        <v>389</v>
      </c>
    </row>
    <row r="188" spans="1:19" ht="15" hidden="1" customHeight="1" x14ac:dyDescent="0.2">
      <c r="A188" s="25" t="s">
        <v>6</v>
      </c>
      <c r="B188" s="26" t="s">
        <v>709</v>
      </c>
      <c r="C188" s="26" t="s">
        <v>751</v>
      </c>
      <c r="D188" s="27" t="str">
        <f t="shared" si="15"/>
        <v>Presidência</v>
      </c>
      <c r="E188" s="27" t="str">
        <f t="shared" si="16"/>
        <v>Operações de Rede e SI</v>
      </c>
      <c r="F188" s="27" t="str">
        <f t="shared" si="17"/>
        <v>Soluções e Projetos</v>
      </c>
      <c r="G188" s="27" t="str">
        <f t="shared" si="18"/>
        <v>Planej., Proj. e Implan. de Plataformas e Serviços</v>
      </c>
      <c r="H188" s="27" t="str">
        <f t="shared" si="19"/>
        <v>Planej., Proj. e Implan. de Plataformas e Serviços</v>
      </c>
      <c r="I188" s="27" t="str">
        <f t="shared" si="20"/>
        <v>Planej., Proj. e Implan. de Plataformas e Serviços</v>
      </c>
      <c r="J188" s="27" t="str">
        <f t="shared" si="21"/>
        <v>Planej., Proj. e Implan. de Plataformas e Serviços</v>
      </c>
      <c r="K188" s="43" t="s">
        <v>752</v>
      </c>
      <c r="L188" s="43">
        <v>73348</v>
      </c>
      <c r="M188" s="29" t="s">
        <v>753</v>
      </c>
      <c r="N188" s="28" t="s">
        <v>749</v>
      </c>
      <c r="O188" s="28"/>
      <c r="P188" s="28"/>
      <c r="Q188" s="28" t="s">
        <v>750</v>
      </c>
      <c r="R188" s="28" t="s">
        <v>35</v>
      </c>
      <c r="S188" s="28" t="s">
        <v>389</v>
      </c>
    </row>
    <row r="189" spans="1:19" ht="15" hidden="1" customHeight="1" x14ac:dyDescent="0.2">
      <c r="A189" s="25" t="s">
        <v>6</v>
      </c>
      <c r="B189" s="26" t="s">
        <v>709</v>
      </c>
      <c r="C189" s="26" t="s">
        <v>754</v>
      </c>
      <c r="D189" s="27" t="str">
        <f t="shared" si="15"/>
        <v>Presidência</v>
      </c>
      <c r="E189" s="27" t="str">
        <f t="shared" si="16"/>
        <v>Operações de Rede e SI</v>
      </c>
      <c r="F189" s="27" t="str">
        <f t="shared" si="17"/>
        <v>Soluções e Projetos</v>
      </c>
      <c r="G189" s="27" t="str">
        <f t="shared" si="18"/>
        <v>Planej., Proj. e Implan. de Redes</v>
      </c>
      <c r="H189" s="27" t="str">
        <f t="shared" si="19"/>
        <v>Planej., Proj. e Implan. de Redes</v>
      </c>
      <c r="I189" s="27" t="str">
        <f t="shared" si="20"/>
        <v>Planej., Proj. e Implan. de Redes</v>
      </c>
      <c r="J189" s="27" t="str">
        <f t="shared" si="21"/>
        <v>Planej., Proj. e Implan. de Redes</v>
      </c>
      <c r="K189" s="43" t="s">
        <v>755</v>
      </c>
      <c r="L189" s="43">
        <v>65287</v>
      </c>
      <c r="M189" s="29" t="s">
        <v>756</v>
      </c>
      <c r="N189" s="28" t="s">
        <v>749</v>
      </c>
      <c r="O189" s="28"/>
      <c r="P189" s="28"/>
      <c r="Q189" s="28" t="s">
        <v>750</v>
      </c>
      <c r="R189" s="28" t="s">
        <v>35</v>
      </c>
      <c r="S189" s="28" t="s">
        <v>389</v>
      </c>
    </row>
    <row r="190" spans="1:19" ht="15" hidden="1" customHeight="1" x14ac:dyDescent="0.2">
      <c r="A190" s="25" t="s">
        <v>6</v>
      </c>
      <c r="B190" s="26" t="s">
        <v>709</v>
      </c>
      <c r="C190" s="26" t="s">
        <v>757</v>
      </c>
      <c r="D190" s="27" t="str">
        <f t="shared" si="15"/>
        <v>Presidência</v>
      </c>
      <c r="E190" s="27" t="str">
        <f t="shared" si="16"/>
        <v>Operações de Rede e SI</v>
      </c>
      <c r="F190" s="27" t="str">
        <f t="shared" si="17"/>
        <v>Soluções e Projetos</v>
      </c>
      <c r="G190" s="27" t="str">
        <f t="shared" si="18"/>
        <v>Arquitetura de Tecnologia e Soluções</v>
      </c>
      <c r="H190" s="27" t="str">
        <f t="shared" si="19"/>
        <v>Arquitetura de Tecnologia e Soluções</v>
      </c>
      <c r="I190" s="27" t="str">
        <f t="shared" si="20"/>
        <v>Arquitetura de Tecnologia e Soluções</v>
      </c>
      <c r="J190" s="27" t="str">
        <f t="shared" si="21"/>
        <v>Arquitetura de Tecnologia e Soluções</v>
      </c>
      <c r="K190" s="22" t="s">
        <v>758</v>
      </c>
      <c r="L190" s="22">
        <v>303758</v>
      </c>
      <c r="M190" s="23" t="s">
        <v>759</v>
      </c>
      <c r="N190" s="28" t="s">
        <v>749</v>
      </c>
      <c r="O190" s="28"/>
      <c r="P190" s="28"/>
      <c r="Q190" s="28" t="s">
        <v>750</v>
      </c>
      <c r="R190" s="28" t="s">
        <v>35</v>
      </c>
      <c r="S190" s="28" t="s">
        <v>389</v>
      </c>
    </row>
    <row r="191" spans="1:19" ht="15" hidden="1" customHeight="1" collapsed="1" x14ac:dyDescent="0.2">
      <c r="A191" s="14" t="s">
        <v>5</v>
      </c>
      <c r="B191" s="15" t="s">
        <v>709</v>
      </c>
      <c r="C191" s="15" t="s">
        <v>760</v>
      </c>
      <c r="D191" s="16" t="str">
        <f t="shared" si="15"/>
        <v>Presidência</v>
      </c>
      <c r="E191" s="16" t="str">
        <f t="shared" si="16"/>
        <v>Operações de Rede e SI</v>
      </c>
      <c r="F191" s="16" t="str">
        <f t="shared" si="17"/>
        <v>Operações B2C</v>
      </c>
      <c r="G191" s="16" t="str">
        <f t="shared" si="18"/>
        <v>Operações B2C</v>
      </c>
      <c r="H191" s="16" t="str">
        <f t="shared" si="19"/>
        <v>Operações B2C</v>
      </c>
      <c r="I191" s="16" t="str">
        <f t="shared" si="20"/>
        <v>Operações B2C</v>
      </c>
      <c r="J191" s="16" t="str">
        <f t="shared" si="21"/>
        <v>Operações B2C</v>
      </c>
      <c r="K191" s="42" t="s">
        <v>761</v>
      </c>
      <c r="L191" s="42">
        <v>153378</v>
      </c>
      <c r="M191" s="39" t="s">
        <v>762</v>
      </c>
      <c r="N191" s="17" t="s">
        <v>381</v>
      </c>
      <c r="O191" s="17" t="s">
        <v>763</v>
      </c>
      <c r="P191" s="17"/>
      <c r="Q191" s="17" t="s">
        <v>764</v>
      </c>
      <c r="R191" s="17" t="s">
        <v>30</v>
      </c>
      <c r="S191" s="17" t="s">
        <v>389</v>
      </c>
    </row>
    <row r="192" spans="1:19" ht="15" hidden="1" customHeight="1" x14ac:dyDescent="0.2">
      <c r="A192" s="25" t="s">
        <v>6</v>
      </c>
      <c r="B192" s="26" t="s">
        <v>709</v>
      </c>
      <c r="C192" s="26" t="s">
        <v>765</v>
      </c>
      <c r="D192" s="27" t="str">
        <f t="shared" si="15"/>
        <v>Presidência</v>
      </c>
      <c r="E192" s="27" t="str">
        <f t="shared" si="16"/>
        <v>Operações de Rede e SI</v>
      </c>
      <c r="F192" s="27" t="str">
        <f t="shared" si="17"/>
        <v>Operações B2C</v>
      </c>
      <c r="G192" s="27" t="str">
        <f t="shared" si="18"/>
        <v>O&amp;M Ambiente do Cliente</v>
      </c>
      <c r="H192" s="27" t="str">
        <f t="shared" si="19"/>
        <v>O&amp;M Ambiente do Cliente</v>
      </c>
      <c r="I192" s="27" t="str">
        <f t="shared" si="20"/>
        <v>O&amp;M Ambiente do Cliente</v>
      </c>
      <c r="J192" s="27" t="str">
        <f t="shared" si="21"/>
        <v>O&amp;M Ambiente do Cliente</v>
      </c>
      <c r="K192" s="43" t="s">
        <v>766</v>
      </c>
      <c r="L192" s="43">
        <v>331889</v>
      </c>
      <c r="M192" s="29" t="s">
        <v>767</v>
      </c>
      <c r="N192" s="28" t="s">
        <v>381</v>
      </c>
      <c r="O192" s="28" t="s">
        <v>768</v>
      </c>
      <c r="P192" s="28"/>
      <c r="Q192" s="28" t="s">
        <v>764</v>
      </c>
      <c r="R192" s="28" t="s">
        <v>35</v>
      </c>
      <c r="S192" s="28" t="s">
        <v>389</v>
      </c>
    </row>
    <row r="193" spans="1:19" ht="15" hidden="1" customHeight="1" x14ac:dyDescent="0.2">
      <c r="A193" s="25" t="s">
        <v>6</v>
      </c>
      <c r="B193" s="26" t="s">
        <v>709</v>
      </c>
      <c r="C193" s="26" t="s">
        <v>769</v>
      </c>
      <c r="D193" s="27" t="str">
        <f t="shared" si="15"/>
        <v>Presidência</v>
      </c>
      <c r="E193" s="27" t="str">
        <f t="shared" si="16"/>
        <v>Operações de Rede e SI</v>
      </c>
      <c r="F193" s="27" t="str">
        <f t="shared" si="17"/>
        <v>Operações B2C</v>
      </c>
      <c r="G193" s="27" t="str">
        <f t="shared" si="18"/>
        <v>Monitoração dos Serviços</v>
      </c>
      <c r="H193" s="27" t="str">
        <f t="shared" si="19"/>
        <v>Monitoração dos Serviços</v>
      </c>
      <c r="I193" s="27" t="str">
        <f t="shared" si="20"/>
        <v>Monitoração dos Serviços</v>
      </c>
      <c r="J193" s="27" t="str">
        <f t="shared" si="21"/>
        <v>Monitoração dos Serviços</v>
      </c>
      <c r="K193" s="43" t="s">
        <v>770</v>
      </c>
      <c r="L193" s="43">
        <v>332326</v>
      </c>
      <c r="M193" s="29" t="s">
        <v>771</v>
      </c>
      <c r="N193" s="28" t="s">
        <v>381</v>
      </c>
      <c r="O193" s="28" t="s">
        <v>772</v>
      </c>
      <c r="P193" s="28"/>
      <c r="Q193" s="28" t="s">
        <v>764</v>
      </c>
      <c r="R193" s="28" t="s">
        <v>30</v>
      </c>
      <c r="S193" s="28" t="s">
        <v>25</v>
      </c>
    </row>
    <row r="194" spans="1:19" ht="15" hidden="1" customHeight="1" x14ac:dyDescent="0.2">
      <c r="A194" s="30" t="s">
        <v>7</v>
      </c>
      <c r="B194" s="31" t="s">
        <v>709</v>
      </c>
      <c r="C194" s="31" t="s">
        <v>773</v>
      </c>
      <c r="D194" s="32" t="str">
        <f t="shared" si="15"/>
        <v>Presidência</v>
      </c>
      <c r="E194" s="32" t="str">
        <f t="shared" si="16"/>
        <v>Operações de Rede e SI</v>
      </c>
      <c r="F194" s="32" t="str">
        <f t="shared" si="17"/>
        <v>Operações B2C</v>
      </c>
      <c r="G194" s="32" t="str">
        <f t="shared" si="18"/>
        <v>Monitoração dos Serviços</v>
      </c>
      <c r="H194" s="32" t="str">
        <f t="shared" si="19"/>
        <v>Gestão e Suporte dos Serviços</v>
      </c>
      <c r="I194" s="32" t="str">
        <f t="shared" si="20"/>
        <v>Gestão e Suporte dos Serviços</v>
      </c>
      <c r="J194" s="32" t="str">
        <f t="shared" si="21"/>
        <v>Gestão e Suporte dos Serviços</v>
      </c>
      <c r="K194" s="36" t="s">
        <v>774</v>
      </c>
      <c r="L194" s="36">
        <v>340778</v>
      </c>
      <c r="M194" s="34" t="s">
        <v>775</v>
      </c>
      <c r="N194" s="33" t="s">
        <v>22</v>
      </c>
      <c r="O194" s="33" t="s">
        <v>772</v>
      </c>
      <c r="P194" s="33"/>
      <c r="Q194" s="33"/>
      <c r="R194" s="33" t="s">
        <v>35</v>
      </c>
      <c r="S194" s="33" t="s">
        <v>25</v>
      </c>
    </row>
    <row r="195" spans="1:19" ht="15" hidden="1" customHeight="1" x14ac:dyDescent="0.2">
      <c r="A195" s="30" t="s">
        <v>7</v>
      </c>
      <c r="B195" s="31" t="s">
        <v>709</v>
      </c>
      <c r="C195" s="31" t="s">
        <v>776</v>
      </c>
      <c r="D195" s="32" t="str">
        <f t="shared" ref="D195:D258" si="22">IF($A195=D$1,$C195,IF(TEXT(RIGHT($A195,1),0)&lt;TEXT(RIGHT(D$1,1),0),C195,D194))</f>
        <v>Presidência</v>
      </c>
      <c r="E195" s="32" t="str">
        <f t="shared" ref="E195:E258" si="23">IF($A195=E$1,$C195,IF(TEXT(RIGHT($A195,1),0)&lt;TEXT(RIGHT(E$1,1),0),D195,E194))</f>
        <v>Operações de Rede e SI</v>
      </c>
      <c r="F195" s="32" t="str">
        <f t="shared" ref="F195:F258" si="24">IF($A195=F$1,$C195,IF(TEXT(RIGHT($A195,1),0)&lt;TEXT(RIGHT(F$1,1),0),E195,F194))</f>
        <v>Operações B2C</v>
      </c>
      <c r="G195" s="32" t="str">
        <f t="shared" ref="G195:G258" si="25">IF($A195=G$1,$C195,IF(TEXT(RIGHT($A195,1),0)&lt;TEXT(RIGHT(G$1,1),0),F195,G194))</f>
        <v>Monitoração dos Serviços</v>
      </c>
      <c r="H195" s="32" t="str">
        <f t="shared" ref="H195:H258" si="26">IF($A195=H$1,$C195,IF(TEXT(RIGHT($A195,1),0)&lt;TEXT(RIGHT(H$1,1),0),G195,H194))</f>
        <v>Monitoração e Comunicação de Falhas</v>
      </c>
      <c r="I195" s="32" t="str">
        <f t="shared" ref="I195:I258" si="27">IF($A195=I$1,$C195,IF(TEXT(RIGHT($A195,1),0)&lt;TEXT(RIGHT(I$1,1),0),H195,I194))</f>
        <v>Monitoração e Comunicação de Falhas</v>
      </c>
      <c r="J195" s="32" t="str">
        <f t="shared" ref="J195:J258" si="28">IF($A195=J$1,$C195,IF(TEXT(RIGHT($A195,1),0)&lt;TEXT(RIGHT(J$1,1),0),I195,J194))</f>
        <v>Monitoração e Comunicação de Falhas</v>
      </c>
      <c r="K195" s="36" t="s">
        <v>777</v>
      </c>
      <c r="L195" s="36">
        <v>115405</v>
      </c>
      <c r="M195" s="34" t="s">
        <v>778</v>
      </c>
      <c r="N195" s="33" t="s">
        <v>22</v>
      </c>
      <c r="O195" s="33" t="s">
        <v>772</v>
      </c>
      <c r="P195" s="33"/>
      <c r="Q195" s="33"/>
      <c r="R195" s="33" t="s">
        <v>35</v>
      </c>
      <c r="S195" s="33" t="s">
        <v>25</v>
      </c>
    </row>
    <row r="196" spans="1:19" ht="15" hidden="1" customHeight="1" x14ac:dyDescent="0.2">
      <c r="A196" s="25" t="s">
        <v>6</v>
      </c>
      <c r="B196" s="26" t="s">
        <v>709</v>
      </c>
      <c r="C196" s="26" t="s">
        <v>779</v>
      </c>
      <c r="D196" s="27" t="str">
        <f t="shared" si="22"/>
        <v>Presidência</v>
      </c>
      <c r="E196" s="27" t="str">
        <f t="shared" si="23"/>
        <v>Operações de Rede e SI</v>
      </c>
      <c r="F196" s="27" t="str">
        <f t="shared" si="24"/>
        <v>Operações B2C</v>
      </c>
      <c r="G196" s="27" t="str">
        <f t="shared" si="25"/>
        <v>O&amp;M Remoto</v>
      </c>
      <c r="H196" s="27" t="str">
        <f t="shared" si="26"/>
        <v>O&amp;M Remoto</v>
      </c>
      <c r="I196" s="27" t="str">
        <f t="shared" si="27"/>
        <v>O&amp;M Remoto</v>
      </c>
      <c r="J196" s="27" t="str">
        <f t="shared" si="28"/>
        <v>O&amp;M Remoto</v>
      </c>
      <c r="K196" s="43" t="s">
        <v>780</v>
      </c>
      <c r="L196" s="43">
        <v>74664</v>
      </c>
      <c r="M196" s="29" t="s">
        <v>781</v>
      </c>
      <c r="N196" s="28" t="s">
        <v>381</v>
      </c>
      <c r="O196" s="28" t="s">
        <v>782</v>
      </c>
      <c r="P196" s="28"/>
      <c r="Q196" s="28" t="s">
        <v>764</v>
      </c>
      <c r="R196" s="28" t="s">
        <v>30</v>
      </c>
      <c r="S196" s="28" t="s">
        <v>124</v>
      </c>
    </row>
    <row r="197" spans="1:19" ht="15" hidden="1" customHeight="1" x14ac:dyDescent="0.2">
      <c r="A197" s="30" t="s">
        <v>7</v>
      </c>
      <c r="B197" s="31" t="s">
        <v>709</v>
      </c>
      <c r="C197" s="31" t="s">
        <v>783</v>
      </c>
      <c r="D197" s="32" t="str">
        <f t="shared" si="22"/>
        <v>Presidência</v>
      </c>
      <c r="E197" s="32" t="str">
        <f t="shared" si="23"/>
        <v>Operações de Rede e SI</v>
      </c>
      <c r="F197" s="32" t="str">
        <f t="shared" si="24"/>
        <v>Operações B2C</v>
      </c>
      <c r="G197" s="32" t="str">
        <f t="shared" si="25"/>
        <v>O&amp;M Remoto</v>
      </c>
      <c r="H197" s="32" t="str">
        <f t="shared" si="26"/>
        <v>O&amp;M Remoto Plataforma, Transmissão e Dados Legados</v>
      </c>
      <c r="I197" s="32" t="str">
        <f t="shared" si="27"/>
        <v>O&amp;M Remoto Plataforma, Transmissão e Dados Legados</v>
      </c>
      <c r="J197" s="32" t="str">
        <f t="shared" si="28"/>
        <v>O&amp;M Remoto Plataforma, Transmissão e Dados Legados</v>
      </c>
      <c r="K197" s="36" t="s">
        <v>784</v>
      </c>
      <c r="L197" s="36">
        <v>404363</v>
      </c>
      <c r="M197" s="34" t="s">
        <v>785</v>
      </c>
      <c r="N197" s="33" t="s">
        <v>381</v>
      </c>
      <c r="O197" s="33" t="s">
        <v>782</v>
      </c>
      <c r="P197" s="33"/>
      <c r="Q197" s="33" t="s">
        <v>764</v>
      </c>
      <c r="R197" s="33" t="s">
        <v>35</v>
      </c>
      <c r="S197" s="33" t="s">
        <v>124</v>
      </c>
    </row>
    <row r="198" spans="1:19" ht="15" hidden="1" customHeight="1" x14ac:dyDescent="0.2">
      <c r="A198" s="30" t="s">
        <v>7</v>
      </c>
      <c r="B198" s="31" t="s">
        <v>709</v>
      </c>
      <c r="C198" s="31" t="s">
        <v>786</v>
      </c>
      <c r="D198" s="32" t="str">
        <f t="shared" si="22"/>
        <v>Presidência</v>
      </c>
      <c r="E198" s="32" t="str">
        <f t="shared" si="23"/>
        <v>Operações de Rede e SI</v>
      </c>
      <c r="F198" s="32" t="str">
        <f t="shared" si="24"/>
        <v>Operações B2C</v>
      </c>
      <c r="G198" s="32" t="str">
        <f t="shared" si="25"/>
        <v>O&amp;M Remoto</v>
      </c>
      <c r="H198" s="32" t="str">
        <f t="shared" si="26"/>
        <v>Relacionamento Técnico de Serviços</v>
      </c>
      <c r="I198" s="32" t="str">
        <f t="shared" si="27"/>
        <v>Relacionamento Técnico de Serviços</v>
      </c>
      <c r="J198" s="32" t="str">
        <f t="shared" si="28"/>
        <v>Relacionamento Técnico de Serviços</v>
      </c>
      <c r="K198" s="36" t="s">
        <v>787</v>
      </c>
      <c r="L198" s="36">
        <v>103153</v>
      </c>
      <c r="M198" s="34" t="s">
        <v>788</v>
      </c>
      <c r="N198" s="33" t="s">
        <v>22</v>
      </c>
      <c r="O198" s="33" t="s">
        <v>789</v>
      </c>
      <c r="P198" s="33"/>
      <c r="Q198" s="33"/>
      <c r="R198" s="33" t="s">
        <v>35</v>
      </c>
      <c r="S198" s="33" t="s">
        <v>389</v>
      </c>
    </row>
    <row r="199" spans="1:19" ht="15" hidden="1" customHeight="1" collapsed="1" x14ac:dyDescent="0.2">
      <c r="A199" s="14" t="s">
        <v>5</v>
      </c>
      <c r="B199" s="15" t="s">
        <v>709</v>
      </c>
      <c r="C199" s="15" t="s">
        <v>790</v>
      </c>
      <c r="D199" s="16" t="str">
        <f t="shared" si="22"/>
        <v>Presidência</v>
      </c>
      <c r="E199" s="16" t="str">
        <f t="shared" si="23"/>
        <v>Operações de Rede e SI</v>
      </c>
      <c r="F199" s="16" t="str">
        <f t="shared" si="24"/>
        <v>Desempenho e Ecossistema de Parceiros</v>
      </c>
      <c r="G199" s="16" t="str">
        <f t="shared" si="25"/>
        <v>Desempenho e Ecossistema de Parceiros</v>
      </c>
      <c r="H199" s="16" t="str">
        <f t="shared" si="26"/>
        <v>Desempenho e Ecossistema de Parceiros</v>
      </c>
      <c r="I199" s="16" t="str">
        <f t="shared" si="27"/>
        <v>Desempenho e Ecossistema de Parceiros</v>
      </c>
      <c r="J199" s="16" t="str">
        <f t="shared" si="28"/>
        <v>Desempenho e Ecossistema de Parceiros</v>
      </c>
      <c r="K199" s="42" t="s">
        <v>791</v>
      </c>
      <c r="L199" s="42">
        <v>399670</v>
      </c>
      <c r="M199" s="39" t="s">
        <v>792</v>
      </c>
      <c r="N199" s="17" t="s">
        <v>381</v>
      </c>
      <c r="O199" s="17" t="s">
        <v>793</v>
      </c>
      <c r="P199" s="17"/>
      <c r="Q199" s="17" t="s">
        <v>794</v>
      </c>
      <c r="R199" s="17" t="s">
        <v>30</v>
      </c>
      <c r="S199" s="17" t="s">
        <v>25</v>
      </c>
    </row>
    <row r="200" spans="1:19" ht="15" hidden="1" customHeight="1" x14ac:dyDescent="0.2">
      <c r="A200" s="25" t="s">
        <v>6</v>
      </c>
      <c r="B200" s="26" t="s">
        <v>709</v>
      </c>
      <c r="C200" s="26" t="s">
        <v>795</v>
      </c>
      <c r="D200" s="27" t="str">
        <f t="shared" si="22"/>
        <v>Presidência</v>
      </c>
      <c r="E200" s="27" t="str">
        <f t="shared" si="23"/>
        <v>Operações de Rede e SI</v>
      </c>
      <c r="F200" s="27" t="str">
        <f t="shared" si="24"/>
        <v>Desempenho e Ecossistema de Parceiros</v>
      </c>
      <c r="G200" s="27" t="str">
        <f t="shared" si="25"/>
        <v>Gestão InfraCOs</v>
      </c>
      <c r="H200" s="27" t="str">
        <f t="shared" si="26"/>
        <v>Gestão InfraCOs</v>
      </c>
      <c r="I200" s="27" t="str">
        <f t="shared" si="27"/>
        <v>Gestão InfraCOs</v>
      </c>
      <c r="J200" s="27" t="str">
        <f t="shared" si="28"/>
        <v>Gestão InfraCOs</v>
      </c>
      <c r="K200" s="43" t="s">
        <v>796</v>
      </c>
      <c r="L200" s="43">
        <v>82312</v>
      </c>
      <c r="M200" s="29" t="s">
        <v>797</v>
      </c>
      <c r="N200" s="28" t="s">
        <v>381</v>
      </c>
      <c r="O200" s="28" t="s">
        <v>798</v>
      </c>
      <c r="P200" s="28"/>
      <c r="Q200" s="28" t="s">
        <v>799</v>
      </c>
      <c r="R200" s="28" t="s">
        <v>35</v>
      </c>
      <c r="S200" s="28" t="s">
        <v>389</v>
      </c>
    </row>
    <row r="201" spans="1:19" ht="15" hidden="1" customHeight="1" x14ac:dyDescent="0.2">
      <c r="A201" s="25" t="s">
        <v>6</v>
      </c>
      <c r="B201" s="26" t="s">
        <v>709</v>
      </c>
      <c r="C201" s="26" t="s">
        <v>800</v>
      </c>
      <c r="D201" s="27" t="str">
        <f t="shared" si="22"/>
        <v>Presidência</v>
      </c>
      <c r="E201" s="27" t="str">
        <f t="shared" si="23"/>
        <v>Operações de Rede e SI</v>
      </c>
      <c r="F201" s="27" t="str">
        <f t="shared" si="24"/>
        <v>Desempenho e Ecossistema de Parceiros</v>
      </c>
      <c r="G201" s="27" t="str">
        <f t="shared" si="25"/>
        <v>Gestão Desempenho e S&amp;OP</v>
      </c>
      <c r="H201" s="27" t="str">
        <f t="shared" si="26"/>
        <v>Gestão Desempenho e S&amp;OP</v>
      </c>
      <c r="I201" s="27" t="str">
        <f t="shared" si="27"/>
        <v>Gestão Desempenho e S&amp;OP</v>
      </c>
      <c r="J201" s="27" t="str">
        <f t="shared" si="28"/>
        <v>Gestão Desempenho e S&amp;OP</v>
      </c>
      <c r="K201" s="43" t="s">
        <v>801</v>
      </c>
      <c r="L201" s="43">
        <v>85264</v>
      </c>
      <c r="M201" s="29" t="s">
        <v>802</v>
      </c>
      <c r="N201" s="28" t="s">
        <v>381</v>
      </c>
      <c r="O201" s="28" t="s">
        <v>803</v>
      </c>
      <c r="P201" s="28"/>
      <c r="Q201" s="28" t="s">
        <v>804</v>
      </c>
      <c r="R201" s="28" t="s">
        <v>35</v>
      </c>
      <c r="S201" s="28" t="s">
        <v>389</v>
      </c>
    </row>
    <row r="202" spans="1:19" ht="15" hidden="1" customHeight="1" x14ac:dyDescent="0.2">
      <c r="A202" s="25" t="s">
        <v>6</v>
      </c>
      <c r="B202" s="26" t="s">
        <v>709</v>
      </c>
      <c r="C202" s="26" t="s">
        <v>805</v>
      </c>
      <c r="D202" s="27" t="str">
        <f t="shared" si="22"/>
        <v>Presidência</v>
      </c>
      <c r="E202" s="27" t="str">
        <f t="shared" si="23"/>
        <v>Operações de Rede e SI</v>
      </c>
      <c r="F202" s="27" t="str">
        <f t="shared" si="24"/>
        <v>Desempenho e Ecossistema de Parceiros</v>
      </c>
      <c r="G202" s="27" t="str">
        <f t="shared" si="25"/>
        <v>Logística</v>
      </c>
      <c r="H202" s="27" t="str">
        <f t="shared" si="26"/>
        <v>Logística</v>
      </c>
      <c r="I202" s="27" t="str">
        <f t="shared" si="27"/>
        <v>Logística</v>
      </c>
      <c r="J202" s="27" t="str">
        <f t="shared" si="28"/>
        <v>Logística</v>
      </c>
      <c r="K202" s="43" t="s">
        <v>806</v>
      </c>
      <c r="L202" s="43">
        <v>405942</v>
      </c>
      <c r="M202" s="38" t="s">
        <v>807</v>
      </c>
      <c r="N202" s="28" t="s">
        <v>22</v>
      </c>
      <c r="O202" s="28" t="s">
        <v>808</v>
      </c>
      <c r="P202" s="28"/>
      <c r="Q202" s="28"/>
      <c r="R202" s="28" t="s">
        <v>30</v>
      </c>
      <c r="S202" s="28" t="s">
        <v>25</v>
      </c>
    </row>
    <row r="203" spans="1:19" ht="15" hidden="1" customHeight="1" x14ac:dyDescent="0.2">
      <c r="A203" s="30" t="s">
        <v>7</v>
      </c>
      <c r="B203" s="31" t="s">
        <v>709</v>
      </c>
      <c r="C203" s="31" t="s">
        <v>809</v>
      </c>
      <c r="D203" s="32" t="str">
        <f t="shared" si="22"/>
        <v>Presidência</v>
      </c>
      <c r="E203" s="32" t="str">
        <f t="shared" si="23"/>
        <v>Operações de Rede e SI</v>
      </c>
      <c r="F203" s="32" t="str">
        <f t="shared" si="24"/>
        <v>Desempenho e Ecossistema de Parceiros</v>
      </c>
      <c r="G203" s="32" t="str">
        <f t="shared" si="25"/>
        <v>Logística</v>
      </c>
      <c r="H203" s="32" t="str">
        <f t="shared" si="26"/>
        <v>Planejamento de Fornecimento e Abastecimento</v>
      </c>
      <c r="I203" s="32" t="str">
        <f t="shared" si="27"/>
        <v>Planejamento de Fornecimento e Abastecimento</v>
      </c>
      <c r="J203" s="32" t="str">
        <f t="shared" si="28"/>
        <v>Planejamento de Fornecimento e Abastecimento</v>
      </c>
      <c r="K203" s="36" t="s">
        <v>810</v>
      </c>
      <c r="L203" s="36">
        <v>189834</v>
      </c>
      <c r="M203" s="40" t="s">
        <v>811</v>
      </c>
      <c r="N203" s="33" t="s">
        <v>22</v>
      </c>
      <c r="O203" s="33" t="s">
        <v>808</v>
      </c>
      <c r="P203" s="33"/>
      <c r="Q203" s="33"/>
      <c r="R203" s="33" t="s">
        <v>35</v>
      </c>
      <c r="S203" s="33" t="s">
        <v>25</v>
      </c>
    </row>
    <row r="204" spans="1:19" ht="15" hidden="1" customHeight="1" x14ac:dyDescent="0.2">
      <c r="A204" s="30" t="s">
        <v>7</v>
      </c>
      <c r="B204" s="31" t="s">
        <v>709</v>
      </c>
      <c r="C204" s="31" t="s">
        <v>812</v>
      </c>
      <c r="D204" s="32" t="str">
        <f t="shared" si="22"/>
        <v>Presidência</v>
      </c>
      <c r="E204" s="32" t="str">
        <f t="shared" si="23"/>
        <v>Operações de Rede e SI</v>
      </c>
      <c r="F204" s="32" t="str">
        <f t="shared" si="24"/>
        <v>Desempenho e Ecossistema de Parceiros</v>
      </c>
      <c r="G204" s="32" t="str">
        <f t="shared" si="25"/>
        <v>Logística</v>
      </c>
      <c r="H204" s="32" t="str">
        <f t="shared" si="26"/>
        <v>Reversa e Sobressalentes</v>
      </c>
      <c r="I204" s="32" t="str">
        <f t="shared" si="27"/>
        <v>Reversa e Sobressalentes</v>
      </c>
      <c r="J204" s="32" t="str">
        <f t="shared" si="28"/>
        <v>Reversa e Sobressalentes</v>
      </c>
      <c r="K204" s="36" t="s">
        <v>813</v>
      </c>
      <c r="L204" s="36">
        <v>112209</v>
      </c>
      <c r="M204" s="40" t="s">
        <v>814</v>
      </c>
      <c r="N204" s="33" t="s">
        <v>22</v>
      </c>
      <c r="O204" s="33" t="s">
        <v>808</v>
      </c>
      <c r="P204" s="33"/>
      <c r="Q204" s="33"/>
      <c r="R204" s="33" t="s">
        <v>35</v>
      </c>
      <c r="S204" s="33" t="s">
        <v>25</v>
      </c>
    </row>
    <row r="205" spans="1:19" ht="15" hidden="1" customHeight="1" x14ac:dyDescent="0.2">
      <c r="A205" s="14" t="s">
        <v>5</v>
      </c>
      <c r="B205" s="15" t="s">
        <v>709</v>
      </c>
      <c r="C205" s="15" t="s">
        <v>815</v>
      </c>
      <c r="D205" s="16" t="str">
        <f t="shared" si="22"/>
        <v>Presidência</v>
      </c>
      <c r="E205" s="16" t="str">
        <f t="shared" si="23"/>
        <v>Operações de Rede e SI</v>
      </c>
      <c r="F205" s="16" t="str">
        <f t="shared" si="24"/>
        <v>Operação Legado</v>
      </c>
      <c r="G205" s="16" t="str">
        <f t="shared" si="25"/>
        <v>Operação Legado</v>
      </c>
      <c r="H205" s="16" t="str">
        <f t="shared" si="26"/>
        <v>Operação Legado</v>
      </c>
      <c r="I205" s="16" t="str">
        <f t="shared" si="27"/>
        <v>Operação Legado</v>
      </c>
      <c r="J205" s="16" t="str">
        <f t="shared" si="28"/>
        <v>Operação Legado</v>
      </c>
      <c r="K205" s="42" t="s">
        <v>816</v>
      </c>
      <c r="L205" s="42">
        <v>77950</v>
      </c>
      <c r="M205" s="39" t="s">
        <v>817</v>
      </c>
      <c r="N205" s="17" t="s">
        <v>22</v>
      </c>
      <c r="O205" s="17" t="s">
        <v>818</v>
      </c>
      <c r="P205" s="17"/>
      <c r="Q205" s="17"/>
      <c r="R205" s="17" t="s">
        <v>30</v>
      </c>
      <c r="S205" s="17" t="s">
        <v>124</v>
      </c>
    </row>
    <row r="206" spans="1:19" ht="15" hidden="1" customHeight="1" x14ac:dyDescent="0.2">
      <c r="A206" s="25" t="s">
        <v>6</v>
      </c>
      <c r="B206" s="26" t="s">
        <v>709</v>
      </c>
      <c r="C206" s="26" t="s">
        <v>819</v>
      </c>
      <c r="D206" s="27" t="str">
        <f t="shared" si="22"/>
        <v>Presidência</v>
      </c>
      <c r="E206" s="27" t="str">
        <f t="shared" si="23"/>
        <v>Operações de Rede e SI</v>
      </c>
      <c r="F206" s="27" t="str">
        <f t="shared" si="24"/>
        <v>Operação Legado</v>
      </c>
      <c r="G206" s="27" t="str">
        <f t="shared" si="25"/>
        <v>Planejamento / Gestão e O&amp;M Acesso</v>
      </c>
      <c r="H206" s="27" t="str">
        <f t="shared" si="26"/>
        <v>Planejamento / Gestão e O&amp;M Acesso</v>
      </c>
      <c r="I206" s="27" t="str">
        <f t="shared" si="27"/>
        <v>Planejamento / Gestão e O&amp;M Acesso</v>
      </c>
      <c r="J206" s="27" t="str">
        <f t="shared" si="28"/>
        <v>Planejamento / Gestão e O&amp;M Acesso</v>
      </c>
      <c r="K206" s="43" t="s">
        <v>820</v>
      </c>
      <c r="L206" s="43">
        <v>56699</v>
      </c>
      <c r="M206" s="38" t="s">
        <v>821</v>
      </c>
      <c r="N206" s="28" t="s">
        <v>22</v>
      </c>
      <c r="O206" s="28" t="s">
        <v>822</v>
      </c>
      <c r="P206" s="28"/>
      <c r="Q206" s="28"/>
      <c r="R206" s="28" t="s">
        <v>30</v>
      </c>
      <c r="S206" s="28" t="s">
        <v>124</v>
      </c>
    </row>
    <row r="207" spans="1:19" ht="15" hidden="1" customHeight="1" x14ac:dyDescent="0.2">
      <c r="A207" s="30" t="s">
        <v>7</v>
      </c>
      <c r="B207" s="31" t="s">
        <v>709</v>
      </c>
      <c r="C207" s="31" t="s">
        <v>823</v>
      </c>
      <c r="D207" s="32" t="str">
        <f t="shared" si="22"/>
        <v>Presidência</v>
      </c>
      <c r="E207" s="32" t="str">
        <f t="shared" si="23"/>
        <v>Operações de Rede e SI</v>
      </c>
      <c r="F207" s="32" t="str">
        <f t="shared" si="24"/>
        <v>Operação Legado</v>
      </c>
      <c r="G207" s="32" t="str">
        <f t="shared" si="25"/>
        <v>Planejamento / Gestão e O&amp;M Acesso</v>
      </c>
      <c r="H207" s="32" t="str">
        <f t="shared" si="26"/>
        <v>O&amp;M Acesso Legado</v>
      </c>
      <c r="I207" s="32" t="str">
        <f t="shared" si="27"/>
        <v>O&amp;M Acesso Legado</v>
      </c>
      <c r="J207" s="32" t="str">
        <f t="shared" si="28"/>
        <v>O&amp;M Acesso Legado</v>
      </c>
      <c r="K207" s="36" t="s">
        <v>824</v>
      </c>
      <c r="L207" s="36">
        <v>311325</v>
      </c>
      <c r="M207" s="34" t="s">
        <v>825</v>
      </c>
      <c r="N207" s="33" t="s">
        <v>22</v>
      </c>
      <c r="O207" s="33" t="s">
        <v>826</v>
      </c>
      <c r="P207" s="33"/>
      <c r="Q207" s="33"/>
      <c r="R207" s="33" t="s">
        <v>35</v>
      </c>
      <c r="S207" s="33" t="s">
        <v>124</v>
      </c>
    </row>
    <row r="208" spans="1:19" ht="15" hidden="1" customHeight="1" x14ac:dyDescent="0.2">
      <c r="A208" s="25" t="s">
        <v>6</v>
      </c>
      <c r="B208" s="26" t="s">
        <v>709</v>
      </c>
      <c r="C208" s="26" t="s">
        <v>827</v>
      </c>
      <c r="D208" s="27" t="str">
        <f t="shared" si="22"/>
        <v>Presidência</v>
      </c>
      <c r="E208" s="27" t="str">
        <f t="shared" si="23"/>
        <v>Operações de Rede e SI</v>
      </c>
      <c r="F208" s="27" t="str">
        <f t="shared" si="24"/>
        <v>Operação Legado</v>
      </c>
      <c r="G208" s="27" t="str">
        <f t="shared" si="25"/>
        <v>Soluções Projeto Legado</v>
      </c>
      <c r="H208" s="27" t="str">
        <f t="shared" si="26"/>
        <v>Soluções Projeto Legado</v>
      </c>
      <c r="I208" s="27" t="str">
        <f t="shared" si="27"/>
        <v>Soluções Projeto Legado</v>
      </c>
      <c r="J208" s="27" t="str">
        <f t="shared" si="28"/>
        <v>Soluções Projeto Legado</v>
      </c>
      <c r="K208" s="43" t="s">
        <v>828</v>
      </c>
      <c r="L208" s="43">
        <v>213834</v>
      </c>
      <c r="M208" s="38" t="s">
        <v>829</v>
      </c>
      <c r="N208" s="28" t="s">
        <v>22</v>
      </c>
      <c r="O208" s="28" t="s">
        <v>830</v>
      </c>
      <c r="P208" s="28"/>
      <c r="Q208" s="28"/>
      <c r="R208" s="28" t="s">
        <v>30</v>
      </c>
      <c r="S208" s="28" t="s">
        <v>124</v>
      </c>
    </row>
    <row r="209" spans="1:19" ht="15" hidden="1" customHeight="1" x14ac:dyDescent="0.2">
      <c r="A209" s="30" t="s">
        <v>7</v>
      </c>
      <c r="B209" s="31" t="s">
        <v>709</v>
      </c>
      <c r="C209" s="31" t="s">
        <v>831</v>
      </c>
      <c r="D209" s="32" t="str">
        <f t="shared" si="22"/>
        <v>Presidência</v>
      </c>
      <c r="E209" s="32" t="str">
        <f t="shared" si="23"/>
        <v>Operações de Rede e SI</v>
      </c>
      <c r="F209" s="32" t="str">
        <f t="shared" si="24"/>
        <v>Operação Legado</v>
      </c>
      <c r="G209" s="32" t="str">
        <f t="shared" si="25"/>
        <v>Soluções Projeto Legado</v>
      </c>
      <c r="H209" s="32" t="str">
        <f t="shared" si="26"/>
        <v>Soluções e Projeto</v>
      </c>
      <c r="I209" s="32" t="str">
        <f t="shared" si="27"/>
        <v>Soluções e Projeto</v>
      </c>
      <c r="J209" s="32" t="str">
        <f t="shared" si="28"/>
        <v>Soluções e Projeto</v>
      </c>
      <c r="K209" s="36" t="s">
        <v>832</v>
      </c>
      <c r="L209" s="36">
        <v>233380</v>
      </c>
      <c r="M209" s="40" t="s">
        <v>833</v>
      </c>
      <c r="N209" s="33" t="s">
        <v>22</v>
      </c>
      <c r="O209" s="33" t="s">
        <v>830</v>
      </c>
      <c r="P209" s="33"/>
      <c r="Q209" s="33"/>
      <c r="R209" s="33" t="s">
        <v>35</v>
      </c>
      <c r="S209" s="33" t="s">
        <v>124</v>
      </c>
    </row>
    <row r="210" spans="1:19" ht="15" hidden="1" customHeight="1" x14ac:dyDescent="0.2">
      <c r="A210" s="30" t="s">
        <v>7</v>
      </c>
      <c r="B210" s="31" t="s">
        <v>709</v>
      </c>
      <c r="C210" s="31" t="s">
        <v>834</v>
      </c>
      <c r="D210" s="32" t="str">
        <f t="shared" si="22"/>
        <v>Presidência</v>
      </c>
      <c r="E210" s="32" t="str">
        <f t="shared" si="23"/>
        <v>Operações de Rede e SI</v>
      </c>
      <c r="F210" s="32" t="str">
        <f t="shared" si="24"/>
        <v>Operação Legado</v>
      </c>
      <c r="G210" s="32" t="str">
        <f t="shared" si="25"/>
        <v>Soluções Projeto Legado</v>
      </c>
      <c r="H210" s="32" t="str">
        <f t="shared" si="26"/>
        <v>Desmobilização Legado</v>
      </c>
      <c r="I210" s="32" t="str">
        <f t="shared" si="27"/>
        <v>Desmobilização Legado</v>
      </c>
      <c r="J210" s="32" t="str">
        <f t="shared" si="28"/>
        <v>Desmobilização Legado</v>
      </c>
      <c r="K210" s="36" t="s">
        <v>835</v>
      </c>
      <c r="L210" s="36">
        <v>165003</v>
      </c>
      <c r="M210" s="40" t="s">
        <v>836</v>
      </c>
      <c r="N210" s="33" t="s">
        <v>22</v>
      </c>
      <c r="O210" s="33" t="s">
        <v>830</v>
      </c>
      <c r="P210" s="33"/>
      <c r="Q210" s="33"/>
      <c r="R210" s="33" t="s">
        <v>35</v>
      </c>
      <c r="S210" s="33" t="s">
        <v>124</v>
      </c>
    </row>
    <row r="211" spans="1:19" ht="15" hidden="1" customHeight="1" x14ac:dyDescent="0.2">
      <c r="A211" s="30" t="s">
        <v>7</v>
      </c>
      <c r="B211" s="31" t="s">
        <v>709</v>
      </c>
      <c r="C211" s="31" t="s">
        <v>837</v>
      </c>
      <c r="D211" s="32" t="str">
        <f t="shared" si="22"/>
        <v>Presidência</v>
      </c>
      <c r="E211" s="32" t="str">
        <f t="shared" si="23"/>
        <v>Operações de Rede e SI</v>
      </c>
      <c r="F211" s="32" t="str">
        <f t="shared" si="24"/>
        <v>Operação Legado</v>
      </c>
      <c r="G211" s="32" t="str">
        <f t="shared" si="25"/>
        <v>Soluções Projeto Legado</v>
      </c>
      <c r="H211" s="32" t="str">
        <f t="shared" si="26"/>
        <v>Desmobilização Core</v>
      </c>
      <c r="I211" s="32" t="str">
        <f t="shared" si="27"/>
        <v>Desmobilização Core</v>
      </c>
      <c r="J211" s="32" t="str">
        <f t="shared" si="28"/>
        <v>Desmobilização Core</v>
      </c>
      <c r="K211" s="36" t="s">
        <v>838</v>
      </c>
      <c r="L211" s="36">
        <v>331334</v>
      </c>
      <c r="M211" s="40" t="s">
        <v>839</v>
      </c>
      <c r="N211" s="33" t="s">
        <v>22</v>
      </c>
      <c r="O211" s="33" t="s">
        <v>830</v>
      </c>
      <c r="P211" s="33"/>
      <c r="Q211" s="33"/>
      <c r="R211" s="33" t="s">
        <v>35</v>
      </c>
      <c r="S211" s="33" t="s">
        <v>124</v>
      </c>
    </row>
    <row r="212" spans="1:19" ht="15" hidden="1" customHeight="1" x14ac:dyDescent="0.2">
      <c r="A212" s="25" t="s">
        <v>6</v>
      </c>
      <c r="B212" s="26" t="s">
        <v>709</v>
      </c>
      <c r="C212" s="26" t="s">
        <v>840</v>
      </c>
      <c r="D212" s="27" t="str">
        <f t="shared" si="22"/>
        <v>Presidência</v>
      </c>
      <c r="E212" s="27" t="str">
        <f t="shared" si="23"/>
        <v>Operações de Rede e SI</v>
      </c>
      <c r="F212" s="27" t="str">
        <f t="shared" si="24"/>
        <v>Operação Legado</v>
      </c>
      <c r="G212" s="27" t="str">
        <f t="shared" si="25"/>
        <v>O&amp;M Infra Estrutura</v>
      </c>
      <c r="H212" s="27" t="str">
        <f t="shared" si="26"/>
        <v>O&amp;M Infra Estrutura</v>
      </c>
      <c r="I212" s="27" t="str">
        <f t="shared" si="27"/>
        <v>O&amp;M Infra Estrutura</v>
      </c>
      <c r="J212" s="27" t="str">
        <f t="shared" si="28"/>
        <v>O&amp;M Infra Estrutura</v>
      </c>
      <c r="K212" s="43" t="s">
        <v>841</v>
      </c>
      <c r="L212" s="43">
        <v>328688</v>
      </c>
      <c r="M212" s="38" t="s">
        <v>842</v>
      </c>
      <c r="N212" s="28" t="s">
        <v>22</v>
      </c>
      <c r="O212" s="28" t="s">
        <v>843</v>
      </c>
      <c r="P212" s="28"/>
      <c r="Q212" s="28"/>
      <c r="R212" s="28" t="s">
        <v>30</v>
      </c>
      <c r="S212" s="28" t="s">
        <v>124</v>
      </c>
    </row>
    <row r="213" spans="1:19" ht="15" hidden="1" customHeight="1" x14ac:dyDescent="0.2">
      <c r="A213" s="30" t="s">
        <v>7</v>
      </c>
      <c r="B213" s="31" t="s">
        <v>709</v>
      </c>
      <c r="C213" s="31" t="s">
        <v>844</v>
      </c>
      <c r="D213" s="32" t="str">
        <f t="shared" si="22"/>
        <v>Presidência</v>
      </c>
      <c r="E213" s="32" t="str">
        <f t="shared" si="23"/>
        <v>Operações de Rede e SI</v>
      </c>
      <c r="F213" s="32" t="str">
        <f t="shared" si="24"/>
        <v>Operação Legado</v>
      </c>
      <c r="G213" s="32" t="str">
        <f t="shared" si="25"/>
        <v>O&amp;M Infra Estrutura</v>
      </c>
      <c r="H213" s="32" t="str">
        <f t="shared" si="26"/>
        <v>Cor Infra Legado</v>
      </c>
      <c r="I213" s="32" t="str">
        <f t="shared" si="27"/>
        <v>Cor Infra Legado</v>
      </c>
      <c r="J213" s="32" t="str">
        <f t="shared" si="28"/>
        <v>Cor Infra Legado</v>
      </c>
      <c r="K213" s="36" t="s">
        <v>845</v>
      </c>
      <c r="L213" s="36">
        <v>279964</v>
      </c>
      <c r="M213" s="40" t="s">
        <v>846</v>
      </c>
      <c r="N213" s="33" t="s">
        <v>22</v>
      </c>
      <c r="O213" s="33" t="s">
        <v>847</v>
      </c>
      <c r="P213" s="33"/>
      <c r="Q213" s="33"/>
      <c r="R213" s="33" t="s">
        <v>35</v>
      </c>
      <c r="S213" s="33" t="s">
        <v>124</v>
      </c>
    </row>
    <row r="214" spans="1:19" ht="15" hidden="1" customHeight="1" x14ac:dyDescent="0.2">
      <c r="A214" s="30" t="s">
        <v>7</v>
      </c>
      <c r="B214" s="31" t="s">
        <v>709</v>
      </c>
      <c r="C214" s="31" t="s">
        <v>848</v>
      </c>
      <c r="D214" s="32" t="str">
        <f t="shared" si="22"/>
        <v>Presidência</v>
      </c>
      <c r="E214" s="32" t="str">
        <f t="shared" si="23"/>
        <v>Operações de Rede e SI</v>
      </c>
      <c r="F214" s="32" t="str">
        <f t="shared" si="24"/>
        <v>Operação Legado</v>
      </c>
      <c r="G214" s="32" t="str">
        <f t="shared" si="25"/>
        <v>O&amp;M Infra Estrutura</v>
      </c>
      <c r="H214" s="32" t="str">
        <f t="shared" si="26"/>
        <v>Regional Infra Legado SE</v>
      </c>
      <c r="I214" s="32" t="str">
        <f t="shared" si="27"/>
        <v>Regional Infra Legado SE</v>
      </c>
      <c r="J214" s="32" t="str">
        <f t="shared" si="28"/>
        <v>Regional Infra Legado SE</v>
      </c>
      <c r="K214" s="36" t="s">
        <v>849</v>
      </c>
      <c r="L214" s="36">
        <v>328367</v>
      </c>
      <c r="M214" s="40" t="s">
        <v>850</v>
      </c>
      <c r="N214" s="33" t="s">
        <v>22</v>
      </c>
      <c r="O214" s="33" t="s">
        <v>851</v>
      </c>
      <c r="P214" s="33"/>
      <c r="Q214" s="33"/>
      <c r="R214" s="33" t="s">
        <v>30</v>
      </c>
      <c r="S214" s="33" t="s">
        <v>124</v>
      </c>
    </row>
    <row r="215" spans="1:19" ht="15" hidden="1" customHeight="1" x14ac:dyDescent="0.2">
      <c r="A215" s="45" t="s">
        <v>8</v>
      </c>
      <c r="B215" s="46" t="s">
        <v>709</v>
      </c>
      <c r="C215" s="46" t="s">
        <v>852</v>
      </c>
      <c r="D215" s="47" t="str">
        <f t="shared" si="22"/>
        <v>Presidência</v>
      </c>
      <c r="E215" s="47" t="str">
        <f t="shared" si="23"/>
        <v>Operações de Rede e SI</v>
      </c>
      <c r="F215" s="47" t="str">
        <f t="shared" si="24"/>
        <v>Operação Legado</v>
      </c>
      <c r="G215" s="47" t="str">
        <f t="shared" si="25"/>
        <v>O&amp;M Infra Estrutura</v>
      </c>
      <c r="H215" s="47" t="str">
        <f t="shared" si="26"/>
        <v>Regional Infra Legado SE</v>
      </c>
      <c r="I215" s="47" t="str">
        <f t="shared" si="27"/>
        <v>Infra Legado RJ/ES/SP</v>
      </c>
      <c r="J215" s="47" t="str">
        <f t="shared" si="28"/>
        <v>Infra Legado RJ/ES/SP</v>
      </c>
      <c r="K215" s="73" t="s">
        <v>853</v>
      </c>
      <c r="L215" s="73">
        <v>327932</v>
      </c>
      <c r="M215" s="74" t="s">
        <v>854</v>
      </c>
      <c r="N215" s="48" t="s">
        <v>22</v>
      </c>
      <c r="O215" s="48" t="s">
        <v>851</v>
      </c>
      <c r="P215" s="48"/>
      <c r="Q215" s="48"/>
      <c r="R215" s="48" t="s">
        <v>35</v>
      </c>
      <c r="S215" s="48" t="s">
        <v>124</v>
      </c>
    </row>
    <row r="216" spans="1:19" ht="15" hidden="1" customHeight="1" x14ac:dyDescent="0.2">
      <c r="A216" s="45" t="s">
        <v>8</v>
      </c>
      <c r="B216" s="46" t="s">
        <v>709</v>
      </c>
      <c r="C216" s="46" t="s">
        <v>855</v>
      </c>
      <c r="D216" s="47" t="str">
        <f t="shared" si="22"/>
        <v>Presidência</v>
      </c>
      <c r="E216" s="47" t="str">
        <f t="shared" si="23"/>
        <v>Operações de Rede e SI</v>
      </c>
      <c r="F216" s="47" t="str">
        <f t="shared" si="24"/>
        <v>Operação Legado</v>
      </c>
      <c r="G216" s="47" t="str">
        <f t="shared" si="25"/>
        <v>O&amp;M Infra Estrutura</v>
      </c>
      <c r="H216" s="47" t="str">
        <f t="shared" si="26"/>
        <v>Regional Infra Legado SE</v>
      </c>
      <c r="I216" s="47" t="str">
        <f t="shared" si="27"/>
        <v>Infra Legado MG</v>
      </c>
      <c r="J216" s="47" t="str">
        <f t="shared" si="28"/>
        <v>Infra Legado MG</v>
      </c>
      <c r="K216" s="73" t="s">
        <v>856</v>
      </c>
      <c r="L216" s="73">
        <v>57535</v>
      </c>
      <c r="M216" s="74" t="s">
        <v>857</v>
      </c>
      <c r="N216" s="48" t="s">
        <v>22</v>
      </c>
      <c r="O216" s="48" t="s">
        <v>851</v>
      </c>
      <c r="P216" s="48"/>
      <c r="Q216" s="48"/>
      <c r="R216" s="48" t="s">
        <v>35</v>
      </c>
      <c r="S216" s="48" t="s">
        <v>124</v>
      </c>
    </row>
    <row r="217" spans="1:19" ht="15" hidden="1" customHeight="1" x14ac:dyDescent="0.2">
      <c r="A217" s="30" t="s">
        <v>7</v>
      </c>
      <c r="B217" s="31" t="s">
        <v>709</v>
      </c>
      <c r="C217" s="31" t="s">
        <v>858</v>
      </c>
      <c r="D217" s="32" t="str">
        <f t="shared" si="22"/>
        <v>Presidência</v>
      </c>
      <c r="E217" s="32" t="str">
        <f t="shared" si="23"/>
        <v>Operações de Rede e SI</v>
      </c>
      <c r="F217" s="32" t="str">
        <f t="shared" si="24"/>
        <v>Operação Legado</v>
      </c>
      <c r="G217" s="32" t="str">
        <f t="shared" si="25"/>
        <v>O&amp;M Infra Estrutura</v>
      </c>
      <c r="H217" s="32" t="str">
        <f t="shared" si="26"/>
        <v>Regional Infra Legado CE/NO</v>
      </c>
      <c r="I217" s="32" t="str">
        <f t="shared" si="27"/>
        <v>Regional Infra Legado CE/NO</v>
      </c>
      <c r="J217" s="32" t="str">
        <f t="shared" si="28"/>
        <v>Regional Infra Legado CE/NO</v>
      </c>
      <c r="K217" s="36" t="s">
        <v>859</v>
      </c>
      <c r="L217" s="36">
        <v>310252</v>
      </c>
      <c r="M217" s="40" t="s">
        <v>860</v>
      </c>
      <c r="N217" s="33" t="s">
        <v>22</v>
      </c>
      <c r="O217" s="33" t="s">
        <v>861</v>
      </c>
      <c r="P217" s="33"/>
      <c r="Q217" s="33"/>
      <c r="R217" s="33" t="s">
        <v>30</v>
      </c>
      <c r="S217" s="33" t="s">
        <v>124</v>
      </c>
    </row>
    <row r="218" spans="1:19" ht="15" hidden="1" customHeight="1" x14ac:dyDescent="0.2">
      <c r="A218" s="45" t="s">
        <v>8</v>
      </c>
      <c r="B218" s="46" t="s">
        <v>709</v>
      </c>
      <c r="C218" s="46" t="s">
        <v>862</v>
      </c>
      <c r="D218" s="47" t="str">
        <f t="shared" si="22"/>
        <v>Presidência</v>
      </c>
      <c r="E218" s="47" t="str">
        <f t="shared" si="23"/>
        <v>Operações de Rede e SI</v>
      </c>
      <c r="F218" s="47" t="str">
        <f t="shared" si="24"/>
        <v>Operação Legado</v>
      </c>
      <c r="G218" s="47" t="str">
        <f t="shared" si="25"/>
        <v>O&amp;M Infra Estrutura</v>
      </c>
      <c r="H218" s="47" t="str">
        <f t="shared" si="26"/>
        <v>Regional Infra Legado CE/NO</v>
      </c>
      <c r="I218" s="47" t="str">
        <f t="shared" si="27"/>
        <v>Infra Legado PA/MA</v>
      </c>
      <c r="J218" s="47" t="str">
        <f t="shared" si="28"/>
        <v>Infra Legado PA/MA</v>
      </c>
      <c r="K218" s="73" t="s">
        <v>863</v>
      </c>
      <c r="L218" s="73">
        <v>321558</v>
      </c>
      <c r="M218" s="74" t="s">
        <v>864</v>
      </c>
      <c r="N218" s="48" t="s">
        <v>22</v>
      </c>
      <c r="O218" s="48" t="s">
        <v>861</v>
      </c>
      <c r="P218" s="48"/>
      <c r="Q218" s="48"/>
      <c r="R218" s="48" t="s">
        <v>35</v>
      </c>
      <c r="S218" s="48" t="s">
        <v>124</v>
      </c>
    </row>
    <row r="219" spans="1:19" ht="15" hidden="1" customHeight="1" x14ac:dyDescent="0.2">
      <c r="A219" s="45" t="s">
        <v>8</v>
      </c>
      <c r="B219" s="46" t="s">
        <v>709</v>
      </c>
      <c r="C219" s="46" t="s">
        <v>865</v>
      </c>
      <c r="D219" s="47" t="str">
        <f t="shared" si="22"/>
        <v>Presidência</v>
      </c>
      <c r="E219" s="47" t="str">
        <f t="shared" si="23"/>
        <v>Operações de Rede e SI</v>
      </c>
      <c r="F219" s="47" t="str">
        <f t="shared" si="24"/>
        <v>Operação Legado</v>
      </c>
      <c r="G219" s="47" t="str">
        <f t="shared" si="25"/>
        <v>O&amp;M Infra Estrutura</v>
      </c>
      <c r="H219" s="47" t="str">
        <f t="shared" si="26"/>
        <v>Regional Infra Legado CE/NO</v>
      </c>
      <c r="I219" s="47" t="str">
        <f t="shared" si="27"/>
        <v>Infra Legado AM/AP/RR</v>
      </c>
      <c r="J219" s="47" t="str">
        <f t="shared" si="28"/>
        <v>Infra Legado AM/AP/RR</v>
      </c>
      <c r="K219" s="73" t="s">
        <v>866</v>
      </c>
      <c r="L219" s="73">
        <v>28075</v>
      </c>
      <c r="M219" s="49" t="s">
        <v>867</v>
      </c>
      <c r="N219" s="48" t="s">
        <v>22</v>
      </c>
      <c r="O219" s="48" t="s">
        <v>861</v>
      </c>
      <c r="P219" s="48"/>
      <c r="Q219" s="48"/>
      <c r="R219" s="48" t="s">
        <v>35</v>
      </c>
      <c r="S219" s="48" t="s">
        <v>124</v>
      </c>
    </row>
    <row r="220" spans="1:19" ht="15" hidden="1" customHeight="1" x14ac:dyDescent="0.2">
      <c r="A220" s="45" t="s">
        <v>8</v>
      </c>
      <c r="B220" s="46" t="s">
        <v>709</v>
      </c>
      <c r="C220" s="46" t="s">
        <v>868</v>
      </c>
      <c r="D220" s="47" t="str">
        <f t="shared" si="22"/>
        <v>Presidência</v>
      </c>
      <c r="E220" s="47" t="str">
        <f t="shared" si="23"/>
        <v>Operações de Rede e SI</v>
      </c>
      <c r="F220" s="47" t="str">
        <f t="shared" si="24"/>
        <v>Operação Legado</v>
      </c>
      <c r="G220" s="47" t="str">
        <f t="shared" si="25"/>
        <v>O&amp;M Infra Estrutura</v>
      </c>
      <c r="H220" s="47" t="str">
        <f t="shared" si="26"/>
        <v>Regional Infra Legado CE/NO</v>
      </c>
      <c r="I220" s="47" t="str">
        <f t="shared" si="27"/>
        <v>Infra Legado CE/PI</v>
      </c>
      <c r="J220" s="47" t="str">
        <f t="shared" si="28"/>
        <v>Infra Legado CE/PI</v>
      </c>
      <c r="K220" s="73" t="s">
        <v>869</v>
      </c>
      <c r="L220" s="73">
        <v>329499</v>
      </c>
      <c r="M220" s="74" t="s">
        <v>870</v>
      </c>
      <c r="N220" s="48" t="s">
        <v>22</v>
      </c>
      <c r="O220" s="48" t="s">
        <v>861</v>
      </c>
      <c r="P220" s="48"/>
      <c r="Q220" s="48"/>
      <c r="R220" s="48" t="s">
        <v>35</v>
      </c>
      <c r="S220" s="48" t="s">
        <v>124</v>
      </c>
    </row>
    <row r="221" spans="1:19" ht="15" hidden="1" customHeight="1" x14ac:dyDescent="0.2">
      <c r="A221" s="30" t="s">
        <v>7</v>
      </c>
      <c r="B221" s="31" t="s">
        <v>709</v>
      </c>
      <c r="C221" s="31" t="s">
        <v>871</v>
      </c>
      <c r="D221" s="32" t="str">
        <f t="shared" si="22"/>
        <v>Presidência</v>
      </c>
      <c r="E221" s="32" t="str">
        <f t="shared" si="23"/>
        <v>Operações de Rede e SI</v>
      </c>
      <c r="F221" s="32" t="str">
        <f t="shared" si="24"/>
        <v>Operação Legado</v>
      </c>
      <c r="G221" s="32" t="str">
        <f t="shared" si="25"/>
        <v>O&amp;M Infra Estrutura</v>
      </c>
      <c r="H221" s="32" t="str">
        <f t="shared" si="26"/>
        <v>Regional Infra Legado CO/SUL</v>
      </c>
      <c r="I221" s="32" t="str">
        <f t="shared" si="27"/>
        <v>Regional Infra Legado CO/SUL</v>
      </c>
      <c r="J221" s="32" t="str">
        <f t="shared" si="28"/>
        <v>Regional Infra Legado CO/SUL</v>
      </c>
      <c r="K221" s="36" t="s">
        <v>872</v>
      </c>
      <c r="L221" s="36">
        <v>303269</v>
      </c>
      <c r="M221" s="40" t="s">
        <v>873</v>
      </c>
      <c r="N221" s="33" t="s">
        <v>22</v>
      </c>
      <c r="O221" s="33" t="s">
        <v>874</v>
      </c>
      <c r="P221" s="33"/>
      <c r="Q221" s="33"/>
      <c r="R221" s="33" t="s">
        <v>30</v>
      </c>
      <c r="S221" s="33" t="s">
        <v>124</v>
      </c>
    </row>
    <row r="222" spans="1:19" ht="15" hidden="1" customHeight="1" x14ac:dyDescent="0.2">
      <c r="A222" s="45" t="s">
        <v>8</v>
      </c>
      <c r="B222" s="46" t="s">
        <v>709</v>
      </c>
      <c r="C222" s="46" t="s">
        <v>875</v>
      </c>
      <c r="D222" s="47" t="str">
        <f t="shared" si="22"/>
        <v>Presidência</v>
      </c>
      <c r="E222" s="47" t="str">
        <f t="shared" si="23"/>
        <v>Operações de Rede e SI</v>
      </c>
      <c r="F222" s="47" t="str">
        <f t="shared" si="24"/>
        <v>Operação Legado</v>
      </c>
      <c r="G222" s="47" t="str">
        <f t="shared" si="25"/>
        <v>O&amp;M Infra Estrutura</v>
      </c>
      <c r="H222" s="47" t="str">
        <f t="shared" si="26"/>
        <v>Regional Infra Legado CO/SUL</v>
      </c>
      <c r="I222" s="47" t="str">
        <f t="shared" si="27"/>
        <v>Infra Legado SUL</v>
      </c>
      <c r="J222" s="47" t="str">
        <f t="shared" si="28"/>
        <v>Infra Legado SUL</v>
      </c>
      <c r="K222" s="73" t="s">
        <v>876</v>
      </c>
      <c r="L222" s="73">
        <v>303646</v>
      </c>
      <c r="M222" s="74" t="s">
        <v>877</v>
      </c>
      <c r="N222" s="48" t="s">
        <v>22</v>
      </c>
      <c r="O222" s="48" t="s">
        <v>874</v>
      </c>
      <c r="P222" s="48"/>
      <c r="Q222" s="48"/>
      <c r="R222" s="48" t="s">
        <v>35</v>
      </c>
      <c r="S222" s="48" t="s">
        <v>124</v>
      </c>
    </row>
    <row r="223" spans="1:19" ht="15" hidden="1" customHeight="1" x14ac:dyDescent="0.2">
      <c r="A223" s="45" t="s">
        <v>8</v>
      </c>
      <c r="B223" s="46" t="s">
        <v>709</v>
      </c>
      <c r="C223" s="46" t="s">
        <v>878</v>
      </c>
      <c r="D223" s="47" t="str">
        <f t="shared" si="22"/>
        <v>Presidência</v>
      </c>
      <c r="E223" s="47" t="str">
        <f t="shared" si="23"/>
        <v>Operações de Rede e SI</v>
      </c>
      <c r="F223" s="47" t="str">
        <f t="shared" si="24"/>
        <v>Operação Legado</v>
      </c>
      <c r="G223" s="47" t="str">
        <f t="shared" si="25"/>
        <v>O&amp;M Infra Estrutura</v>
      </c>
      <c r="H223" s="47" t="str">
        <f t="shared" si="26"/>
        <v>Regional Infra Legado CO/SUL</v>
      </c>
      <c r="I223" s="47" t="str">
        <f t="shared" si="27"/>
        <v>Infra Legado AC/RO/MT/MS</v>
      </c>
      <c r="J223" s="47" t="str">
        <f t="shared" si="28"/>
        <v>Infra Legado AC/RO/MT/MS</v>
      </c>
      <c r="K223" s="73" t="s">
        <v>879</v>
      </c>
      <c r="L223" s="73">
        <v>330420</v>
      </c>
      <c r="M223" s="74" t="s">
        <v>880</v>
      </c>
      <c r="N223" s="48" t="s">
        <v>22</v>
      </c>
      <c r="O223" s="48" t="s">
        <v>874</v>
      </c>
      <c r="P223" s="48"/>
      <c r="Q223" s="48"/>
      <c r="R223" s="48" t="s">
        <v>35</v>
      </c>
      <c r="S223" s="48" t="s">
        <v>124</v>
      </c>
    </row>
    <row r="224" spans="1:19" ht="15" hidden="1" customHeight="1" x14ac:dyDescent="0.2">
      <c r="A224" s="45" t="s">
        <v>8</v>
      </c>
      <c r="B224" s="46" t="s">
        <v>709</v>
      </c>
      <c r="C224" s="46" t="s">
        <v>881</v>
      </c>
      <c r="D224" s="47" t="str">
        <f t="shared" si="22"/>
        <v>Presidência</v>
      </c>
      <c r="E224" s="47" t="str">
        <f t="shared" si="23"/>
        <v>Operações de Rede e SI</v>
      </c>
      <c r="F224" s="47" t="str">
        <f t="shared" si="24"/>
        <v>Operação Legado</v>
      </c>
      <c r="G224" s="47" t="str">
        <f t="shared" si="25"/>
        <v>O&amp;M Infra Estrutura</v>
      </c>
      <c r="H224" s="47" t="str">
        <f t="shared" si="26"/>
        <v>Regional Infra Legado CO/SUL</v>
      </c>
      <c r="I224" s="47" t="str">
        <f t="shared" si="27"/>
        <v>Infra Legado DF/TO/GO</v>
      </c>
      <c r="J224" s="47" t="str">
        <f t="shared" si="28"/>
        <v>Infra Legado DF/TO/GO</v>
      </c>
      <c r="K224" s="73" t="s">
        <v>882</v>
      </c>
      <c r="L224" s="73">
        <v>300315</v>
      </c>
      <c r="M224" s="74" t="s">
        <v>883</v>
      </c>
      <c r="N224" s="48" t="s">
        <v>22</v>
      </c>
      <c r="O224" s="48" t="s">
        <v>874</v>
      </c>
      <c r="P224" s="48"/>
      <c r="Q224" s="48"/>
      <c r="R224" s="48" t="s">
        <v>35</v>
      </c>
      <c r="S224" s="48" t="s">
        <v>124</v>
      </c>
    </row>
    <row r="225" spans="1:19" ht="15" hidden="1" customHeight="1" x14ac:dyDescent="0.2">
      <c r="A225" s="30" t="s">
        <v>7</v>
      </c>
      <c r="B225" s="31" t="s">
        <v>709</v>
      </c>
      <c r="C225" s="31" t="s">
        <v>884</v>
      </c>
      <c r="D225" s="32" t="str">
        <f t="shared" si="22"/>
        <v>Presidência</v>
      </c>
      <c r="E225" s="32" t="str">
        <f t="shared" si="23"/>
        <v>Operações de Rede e SI</v>
      </c>
      <c r="F225" s="32" t="str">
        <f t="shared" si="24"/>
        <v>Operação Legado</v>
      </c>
      <c r="G225" s="32" t="str">
        <f t="shared" si="25"/>
        <v>O&amp;M Infra Estrutura</v>
      </c>
      <c r="H225" s="32" t="str">
        <f t="shared" si="26"/>
        <v>Regional Infra Legado BA/PE</v>
      </c>
      <c r="I225" s="32" t="str">
        <f t="shared" si="27"/>
        <v>Regional Infra Legado BA/PE</v>
      </c>
      <c r="J225" s="32" t="str">
        <f t="shared" si="28"/>
        <v>Regional Infra Legado BA/PE</v>
      </c>
      <c r="K225" s="36" t="s">
        <v>885</v>
      </c>
      <c r="L225" s="36">
        <v>102014</v>
      </c>
      <c r="M225" s="40" t="s">
        <v>886</v>
      </c>
      <c r="N225" s="33" t="s">
        <v>22</v>
      </c>
      <c r="O225" s="33" t="s">
        <v>887</v>
      </c>
      <c r="P225" s="33"/>
      <c r="Q225" s="33"/>
      <c r="R225" s="33" t="s">
        <v>30</v>
      </c>
      <c r="S225" s="33" t="s">
        <v>124</v>
      </c>
    </row>
    <row r="226" spans="1:19" ht="15" hidden="1" customHeight="1" x14ac:dyDescent="0.2">
      <c r="A226" s="45" t="s">
        <v>8</v>
      </c>
      <c r="B226" s="46" t="s">
        <v>709</v>
      </c>
      <c r="C226" s="46" t="s">
        <v>888</v>
      </c>
      <c r="D226" s="47" t="str">
        <f t="shared" si="22"/>
        <v>Presidência</v>
      </c>
      <c r="E226" s="47" t="str">
        <f t="shared" si="23"/>
        <v>Operações de Rede e SI</v>
      </c>
      <c r="F226" s="47" t="str">
        <f t="shared" si="24"/>
        <v>Operação Legado</v>
      </c>
      <c r="G226" s="47" t="str">
        <f t="shared" si="25"/>
        <v>O&amp;M Infra Estrutura</v>
      </c>
      <c r="H226" s="47" t="str">
        <f t="shared" si="26"/>
        <v>Regional Infra Legado BA/PE</v>
      </c>
      <c r="I226" s="47" t="str">
        <f t="shared" si="27"/>
        <v>Infra Legado PE/PB/RN</v>
      </c>
      <c r="J226" s="47" t="str">
        <f t="shared" si="28"/>
        <v>Infra Legado PE/PB/RN</v>
      </c>
      <c r="K226" s="73" t="s">
        <v>889</v>
      </c>
      <c r="L226" s="73">
        <v>327474</v>
      </c>
      <c r="M226" s="74" t="s">
        <v>890</v>
      </c>
      <c r="N226" s="48" t="s">
        <v>22</v>
      </c>
      <c r="O226" s="48" t="s">
        <v>887</v>
      </c>
      <c r="P226" s="48"/>
      <c r="Q226" s="48"/>
      <c r="R226" s="48" t="s">
        <v>35</v>
      </c>
      <c r="S226" s="48" t="s">
        <v>124</v>
      </c>
    </row>
    <row r="227" spans="1:19" ht="15" hidden="1" customHeight="1" x14ac:dyDescent="0.2">
      <c r="A227" s="45" t="s">
        <v>8</v>
      </c>
      <c r="B227" s="46" t="s">
        <v>709</v>
      </c>
      <c r="C227" s="46" t="s">
        <v>891</v>
      </c>
      <c r="D227" s="47" t="str">
        <f t="shared" si="22"/>
        <v>Presidência</v>
      </c>
      <c r="E227" s="47" t="str">
        <f t="shared" si="23"/>
        <v>Operações de Rede e SI</v>
      </c>
      <c r="F227" s="47" t="str">
        <f t="shared" si="24"/>
        <v>Operação Legado</v>
      </c>
      <c r="G227" s="47" t="str">
        <f t="shared" si="25"/>
        <v>O&amp;M Infra Estrutura</v>
      </c>
      <c r="H227" s="47" t="str">
        <f t="shared" si="26"/>
        <v>Regional Infra Legado BA/PE</v>
      </c>
      <c r="I227" s="47" t="str">
        <f t="shared" si="27"/>
        <v>Infra Legado BA/AL/SE</v>
      </c>
      <c r="J227" s="47" t="str">
        <f t="shared" si="28"/>
        <v>Infra Legado BA/AL/SE</v>
      </c>
      <c r="K227" s="73" t="s">
        <v>892</v>
      </c>
      <c r="L227" s="73">
        <v>274369</v>
      </c>
      <c r="M227" s="74" t="s">
        <v>893</v>
      </c>
      <c r="N227" s="48" t="s">
        <v>22</v>
      </c>
      <c r="O227" s="48" t="s">
        <v>887</v>
      </c>
      <c r="P227" s="48"/>
      <c r="Q227" s="48"/>
      <c r="R227" s="48" t="s">
        <v>35</v>
      </c>
      <c r="S227" s="48" t="s">
        <v>124</v>
      </c>
    </row>
    <row r="228" spans="1:19" ht="15" hidden="1" customHeight="1" x14ac:dyDescent="0.2">
      <c r="A228" s="45" t="s">
        <v>8</v>
      </c>
      <c r="B228" s="46" t="s">
        <v>709</v>
      </c>
      <c r="C228" s="46" t="s">
        <v>894</v>
      </c>
      <c r="D228" s="47" t="str">
        <f t="shared" si="22"/>
        <v>Presidência</v>
      </c>
      <c r="E228" s="47" t="str">
        <f t="shared" si="23"/>
        <v>Operações de Rede e SI</v>
      </c>
      <c r="F228" s="47" t="str">
        <f t="shared" si="24"/>
        <v>Operação Legado</v>
      </c>
      <c r="G228" s="47" t="str">
        <f t="shared" si="25"/>
        <v>O&amp;M Infra Estrutura</v>
      </c>
      <c r="H228" s="47" t="str">
        <f t="shared" si="26"/>
        <v>Regional Infra Legado BA/PE</v>
      </c>
      <c r="I228" s="47" t="str">
        <f t="shared" si="27"/>
        <v>O&amp;M dos Projetos B2B</v>
      </c>
      <c r="J228" s="47" t="str">
        <f t="shared" si="28"/>
        <v>O&amp;M dos Projetos B2B</v>
      </c>
      <c r="K228" s="73" t="s">
        <v>895</v>
      </c>
      <c r="L228" s="73">
        <v>23315</v>
      </c>
      <c r="M228" s="74" t="s">
        <v>896</v>
      </c>
      <c r="N228" s="48" t="s">
        <v>22</v>
      </c>
      <c r="O228" s="48" t="s">
        <v>887</v>
      </c>
      <c r="P228" s="48"/>
      <c r="Q228" s="48"/>
      <c r="R228" s="48" t="s">
        <v>35</v>
      </c>
      <c r="S228" s="48" t="s">
        <v>124</v>
      </c>
    </row>
    <row r="229" spans="1:19" ht="15" customHeight="1" x14ac:dyDescent="0.2">
      <c r="A229" s="59" t="s">
        <v>4</v>
      </c>
      <c r="B229" s="10" t="s">
        <v>897</v>
      </c>
      <c r="C229" s="10" t="s">
        <v>897</v>
      </c>
      <c r="D229" s="10" t="str">
        <f t="shared" si="22"/>
        <v>Presidência</v>
      </c>
      <c r="E229" s="10" t="str">
        <f t="shared" si="23"/>
        <v>Oi Fibra</v>
      </c>
      <c r="F229" s="10" t="str">
        <f t="shared" si="24"/>
        <v>Oi Fibra</v>
      </c>
      <c r="G229" s="10" t="str">
        <f t="shared" si="25"/>
        <v>Oi Fibra</v>
      </c>
      <c r="H229" s="10" t="str">
        <f t="shared" si="26"/>
        <v>Oi Fibra</v>
      </c>
      <c r="I229" s="10" t="str">
        <f t="shared" si="27"/>
        <v>Oi Fibra</v>
      </c>
      <c r="J229" s="10" t="str">
        <f t="shared" si="28"/>
        <v>Oi Fibra</v>
      </c>
      <c r="K229" s="62" t="s">
        <v>898</v>
      </c>
      <c r="L229" s="62">
        <v>419205</v>
      </c>
      <c r="M229" s="13" t="s">
        <v>899</v>
      </c>
      <c r="N229" s="12" t="s">
        <v>22</v>
      </c>
      <c r="O229" s="12" t="s">
        <v>900</v>
      </c>
      <c r="P229" s="12"/>
      <c r="Q229" s="12"/>
      <c r="R229" s="12" t="s">
        <v>30</v>
      </c>
      <c r="S229" s="12" t="s">
        <v>389</v>
      </c>
    </row>
    <row r="230" spans="1:19" ht="15" hidden="1" customHeight="1" x14ac:dyDescent="0.2">
      <c r="A230" s="14" t="s">
        <v>5</v>
      </c>
      <c r="B230" s="15" t="s">
        <v>897</v>
      </c>
      <c r="C230" s="15" t="s">
        <v>901</v>
      </c>
      <c r="D230" s="15" t="str">
        <f t="shared" si="22"/>
        <v>Presidência</v>
      </c>
      <c r="E230" s="15" t="str">
        <f t="shared" si="23"/>
        <v>Oi Fibra</v>
      </c>
      <c r="F230" s="15" t="str">
        <f t="shared" si="24"/>
        <v>Marketing Oi Fibra</v>
      </c>
      <c r="G230" s="15" t="str">
        <f t="shared" si="25"/>
        <v>Marketing Oi Fibra</v>
      </c>
      <c r="H230" s="15" t="str">
        <f t="shared" si="26"/>
        <v>Marketing Oi Fibra</v>
      </c>
      <c r="I230" s="15" t="str">
        <f t="shared" si="27"/>
        <v>Marketing Oi Fibra</v>
      </c>
      <c r="J230" s="15" t="str">
        <f t="shared" si="28"/>
        <v>Marketing Oi Fibra</v>
      </c>
      <c r="K230" s="17" t="s">
        <v>902</v>
      </c>
      <c r="L230" s="17">
        <v>64129</v>
      </c>
      <c r="M230" s="18" t="s">
        <v>903</v>
      </c>
      <c r="N230" s="17" t="s">
        <v>22</v>
      </c>
      <c r="O230" s="17" t="s">
        <v>904</v>
      </c>
      <c r="P230" s="17"/>
      <c r="Q230" s="17"/>
      <c r="R230" s="17" t="s">
        <v>30</v>
      </c>
      <c r="S230" s="17" t="s">
        <v>389</v>
      </c>
    </row>
    <row r="231" spans="1:19" ht="15" hidden="1" customHeight="1" x14ac:dyDescent="0.2">
      <c r="A231" s="25" t="s">
        <v>6</v>
      </c>
      <c r="B231" s="26" t="s">
        <v>897</v>
      </c>
      <c r="C231" s="26" t="s">
        <v>905</v>
      </c>
      <c r="D231" s="26" t="str">
        <f t="shared" si="22"/>
        <v>Presidência</v>
      </c>
      <c r="E231" s="26" t="str">
        <f t="shared" si="23"/>
        <v>Oi Fibra</v>
      </c>
      <c r="F231" s="26" t="str">
        <f t="shared" si="24"/>
        <v>Marketing Oi Fibra</v>
      </c>
      <c r="G231" s="26" t="str">
        <f t="shared" si="25"/>
        <v>Gestão da Jornada de Compra Oi Fibra</v>
      </c>
      <c r="H231" s="26" t="str">
        <f t="shared" si="26"/>
        <v>Gestão da Jornada de Compra Oi Fibra</v>
      </c>
      <c r="I231" s="26" t="str">
        <f t="shared" si="27"/>
        <v>Gestão da Jornada de Compra Oi Fibra</v>
      </c>
      <c r="J231" s="26" t="str">
        <f t="shared" si="28"/>
        <v>Gestão da Jornada de Compra Oi Fibra</v>
      </c>
      <c r="K231" s="28" t="s">
        <v>906</v>
      </c>
      <c r="L231" s="28">
        <v>313975</v>
      </c>
      <c r="M231" s="29" t="s">
        <v>907</v>
      </c>
      <c r="N231" s="28" t="s">
        <v>22</v>
      </c>
      <c r="O231" s="28" t="s">
        <v>908</v>
      </c>
      <c r="P231" s="28"/>
      <c r="Q231" s="28"/>
      <c r="R231" s="22" t="s">
        <v>30</v>
      </c>
      <c r="S231" s="28" t="s">
        <v>389</v>
      </c>
    </row>
    <row r="232" spans="1:19" ht="15" hidden="1" customHeight="1" x14ac:dyDescent="0.2">
      <c r="A232" s="52" t="s">
        <v>7</v>
      </c>
      <c r="B232" s="53" t="s">
        <v>897</v>
      </c>
      <c r="C232" s="53" t="s">
        <v>909</v>
      </c>
      <c r="D232" s="53" t="str">
        <f t="shared" si="22"/>
        <v>Presidência</v>
      </c>
      <c r="E232" s="53" t="str">
        <f t="shared" si="23"/>
        <v>Oi Fibra</v>
      </c>
      <c r="F232" s="53" t="str">
        <f t="shared" si="24"/>
        <v>Marketing Oi Fibra</v>
      </c>
      <c r="G232" s="53" t="str">
        <f t="shared" si="25"/>
        <v>Gestão da Jornada de Compra Oi Fibra</v>
      </c>
      <c r="H232" s="53" t="str">
        <f t="shared" si="26"/>
        <v>Estratégia de Portifólio Massivo/Alto Valor e Emp</v>
      </c>
      <c r="I232" s="53" t="str">
        <f t="shared" si="27"/>
        <v>Estratégia de Portifólio Massivo/Alto Valor e Emp</v>
      </c>
      <c r="J232" s="53" t="str">
        <f t="shared" si="28"/>
        <v>Estratégia de Portifólio Massivo/Alto Valor e Emp</v>
      </c>
      <c r="K232" s="55" t="s">
        <v>910</v>
      </c>
      <c r="L232" s="55">
        <v>269178</v>
      </c>
      <c r="M232" s="44" t="s">
        <v>911</v>
      </c>
      <c r="N232" s="55" t="s">
        <v>22</v>
      </c>
      <c r="O232" s="55" t="s">
        <v>908</v>
      </c>
      <c r="P232" s="55"/>
      <c r="Q232" s="55"/>
      <c r="R232" s="55" t="s">
        <v>35</v>
      </c>
      <c r="S232" s="55" t="s">
        <v>389</v>
      </c>
    </row>
    <row r="233" spans="1:19" ht="15" hidden="1" customHeight="1" x14ac:dyDescent="0.2">
      <c r="A233" s="52" t="s">
        <v>7</v>
      </c>
      <c r="B233" s="53" t="s">
        <v>897</v>
      </c>
      <c r="C233" s="53" t="s">
        <v>912</v>
      </c>
      <c r="D233" s="53" t="str">
        <f t="shared" si="22"/>
        <v>Presidência</v>
      </c>
      <c r="E233" s="53" t="str">
        <f t="shared" si="23"/>
        <v>Oi Fibra</v>
      </c>
      <c r="F233" s="53" t="str">
        <f t="shared" si="24"/>
        <v>Marketing Oi Fibra</v>
      </c>
      <c r="G233" s="53" t="str">
        <f t="shared" si="25"/>
        <v>Gestão da Jornada de Compra Oi Fibra</v>
      </c>
      <c r="H233" s="53" t="str">
        <f t="shared" si="26"/>
        <v>Gestão de Produto Massivo</v>
      </c>
      <c r="I233" s="53" t="str">
        <f t="shared" si="27"/>
        <v>Gestão de Produto Massivo</v>
      </c>
      <c r="J233" s="53" t="str">
        <f t="shared" si="28"/>
        <v>Gestão de Produto Massivo</v>
      </c>
      <c r="K233" s="55" t="s">
        <v>913</v>
      </c>
      <c r="L233" s="55">
        <v>301747</v>
      </c>
      <c r="M233" s="44" t="s">
        <v>914</v>
      </c>
      <c r="N233" s="55" t="s">
        <v>22</v>
      </c>
      <c r="O233" s="55" t="s">
        <v>908</v>
      </c>
      <c r="P233" s="55"/>
      <c r="Q233" s="55"/>
      <c r="R233" s="55" t="s">
        <v>35</v>
      </c>
      <c r="S233" s="55" t="s">
        <v>389</v>
      </c>
    </row>
    <row r="234" spans="1:19" ht="15" hidden="1" customHeight="1" x14ac:dyDescent="0.2">
      <c r="A234" s="52" t="s">
        <v>7</v>
      </c>
      <c r="B234" s="53" t="s">
        <v>897</v>
      </c>
      <c r="C234" s="53" t="s">
        <v>915</v>
      </c>
      <c r="D234" s="53" t="str">
        <f t="shared" si="22"/>
        <v>Presidência</v>
      </c>
      <c r="E234" s="53" t="str">
        <f t="shared" si="23"/>
        <v>Oi Fibra</v>
      </c>
      <c r="F234" s="53" t="str">
        <f t="shared" si="24"/>
        <v>Marketing Oi Fibra</v>
      </c>
      <c r="G234" s="53" t="str">
        <f t="shared" si="25"/>
        <v>Gestão da Jornada de Compra Oi Fibra</v>
      </c>
      <c r="H234" s="53" t="str">
        <f t="shared" si="26"/>
        <v>Gestão de Produtos Alto Valor e Empresarial</v>
      </c>
      <c r="I234" s="53" t="str">
        <f t="shared" si="27"/>
        <v>Gestão de Produtos Alto Valor e Empresarial</v>
      </c>
      <c r="J234" s="53" t="str">
        <f t="shared" si="28"/>
        <v>Gestão de Produtos Alto Valor e Empresarial</v>
      </c>
      <c r="K234" s="55" t="s">
        <v>916</v>
      </c>
      <c r="L234" s="55">
        <v>274019</v>
      </c>
      <c r="M234" s="44" t="s">
        <v>917</v>
      </c>
      <c r="N234" s="55" t="s">
        <v>22</v>
      </c>
      <c r="O234" s="55" t="s">
        <v>908</v>
      </c>
      <c r="P234" s="55"/>
      <c r="Q234" s="55"/>
      <c r="R234" s="55" t="s">
        <v>35</v>
      </c>
      <c r="S234" s="55" t="s">
        <v>389</v>
      </c>
    </row>
    <row r="235" spans="1:19" ht="15" hidden="1" customHeight="1" x14ac:dyDescent="0.2">
      <c r="A235" s="25" t="s">
        <v>6</v>
      </c>
      <c r="B235" s="26" t="s">
        <v>897</v>
      </c>
      <c r="C235" s="26" t="s">
        <v>918</v>
      </c>
      <c r="D235" s="26" t="str">
        <f t="shared" si="22"/>
        <v>Presidência</v>
      </c>
      <c r="E235" s="26" t="str">
        <f t="shared" si="23"/>
        <v>Oi Fibra</v>
      </c>
      <c r="F235" s="26" t="str">
        <f t="shared" si="24"/>
        <v>Marketing Oi Fibra</v>
      </c>
      <c r="G235" s="26" t="str">
        <f t="shared" si="25"/>
        <v>Gestão de Canais Estabelecidos</v>
      </c>
      <c r="H235" s="26" t="str">
        <f t="shared" si="26"/>
        <v>Gestão de Canais Estabelecidos</v>
      </c>
      <c r="I235" s="26" t="str">
        <f t="shared" si="27"/>
        <v>Gestão de Canais Estabelecidos</v>
      </c>
      <c r="J235" s="26" t="str">
        <f t="shared" si="28"/>
        <v>Gestão de Canais Estabelecidos</v>
      </c>
      <c r="K235" s="28" t="s">
        <v>919</v>
      </c>
      <c r="L235" s="28">
        <v>41550</v>
      </c>
      <c r="M235" s="29" t="s">
        <v>920</v>
      </c>
      <c r="N235" s="28" t="s">
        <v>22</v>
      </c>
      <c r="O235" s="28" t="s">
        <v>921</v>
      </c>
      <c r="P235" s="28"/>
      <c r="Q235" s="28"/>
      <c r="R235" s="22" t="s">
        <v>35</v>
      </c>
      <c r="S235" s="28" t="s">
        <v>389</v>
      </c>
    </row>
    <row r="236" spans="1:19" ht="15" hidden="1" customHeight="1" x14ac:dyDescent="0.2">
      <c r="A236" s="19" t="s">
        <v>6</v>
      </c>
      <c r="B236" s="20" t="s">
        <v>897</v>
      </c>
      <c r="C236" s="72" t="s">
        <v>922</v>
      </c>
      <c r="D236" s="72" t="str">
        <f t="shared" si="22"/>
        <v>Presidência</v>
      </c>
      <c r="E236" s="72" t="str">
        <f t="shared" si="23"/>
        <v>Oi Fibra</v>
      </c>
      <c r="F236" s="72" t="str">
        <f t="shared" si="24"/>
        <v>Marketing Oi Fibra</v>
      </c>
      <c r="G236" s="72" t="str">
        <f t="shared" si="25"/>
        <v>Estruturação e Desenvolvimento de Novos Canais</v>
      </c>
      <c r="H236" s="72" t="str">
        <f t="shared" si="26"/>
        <v>Estruturação e Desenvolvimento de Novos Canais</v>
      </c>
      <c r="I236" s="72" t="str">
        <f t="shared" si="27"/>
        <v>Estruturação e Desenvolvimento de Novos Canais</v>
      </c>
      <c r="J236" s="72" t="str">
        <f t="shared" si="28"/>
        <v>Estruturação e Desenvolvimento de Novos Canais</v>
      </c>
      <c r="K236" s="28" t="s">
        <v>923</v>
      </c>
      <c r="L236" s="22">
        <v>112158</v>
      </c>
      <c r="M236" s="23" t="s">
        <v>924</v>
      </c>
      <c r="N236" s="56" t="s">
        <v>22</v>
      </c>
      <c r="O236" s="56" t="s">
        <v>925</v>
      </c>
      <c r="P236" s="56"/>
      <c r="Q236" s="56"/>
      <c r="R236" s="22" t="s">
        <v>35</v>
      </c>
      <c r="S236" s="22" t="s">
        <v>389</v>
      </c>
    </row>
    <row r="237" spans="1:19" ht="15" hidden="1" customHeight="1" x14ac:dyDescent="0.2">
      <c r="A237" s="19" t="s">
        <v>6</v>
      </c>
      <c r="B237" s="20" t="s">
        <v>897</v>
      </c>
      <c r="C237" s="20" t="s">
        <v>926</v>
      </c>
      <c r="D237" s="20" t="str">
        <f t="shared" si="22"/>
        <v>Presidência</v>
      </c>
      <c r="E237" s="20" t="str">
        <f t="shared" si="23"/>
        <v>Oi Fibra</v>
      </c>
      <c r="F237" s="20" t="str">
        <f t="shared" si="24"/>
        <v>Marketing Oi Fibra</v>
      </c>
      <c r="G237" s="20" t="str">
        <f t="shared" si="25"/>
        <v>Gestão da Experiência de Novos Clientes</v>
      </c>
      <c r="H237" s="20" t="str">
        <f t="shared" si="26"/>
        <v>Gestão da Experiência de Novos Clientes</v>
      </c>
      <c r="I237" s="20" t="str">
        <f t="shared" si="27"/>
        <v>Gestão da Experiência de Novos Clientes</v>
      </c>
      <c r="J237" s="20" t="str">
        <f t="shared" si="28"/>
        <v>Gestão da Experiência de Novos Clientes</v>
      </c>
      <c r="K237" s="28" t="s">
        <v>927</v>
      </c>
      <c r="L237" s="22">
        <v>306000</v>
      </c>
      <c r="M237" s="23" t="s">
        <v>928</v>
      </c>
      <c r="N237" s="56" t="s">
        <v>22</v>
      </c>
      <c r="O237" s="56" t="s">
        <v>929</v>
      </c>
      <c r="P237" s="56"/>
      <c r="Q237" s="56"/>
      <c r="R237" s="22" t="s">
        <v>30</v>
      </c>
      <c r="S237" s="22" t="s">
        <v>389</v>
      </c>
    </row>
    <row r="238" spans="1:19" ht="15" hidden="1" customHeight="1" x14ac:dyDescent="0.2">
      <c r="A238" s="52" t="s">
        <v>7</v>
      </c>
      <c r="B238" s="53" t="s">
        <v>897</v>
      </c>
      <c r="C238" s="53" t="s">
        <v>930</v>
      </c>
      <c r="D238" s="53" t="str">
        <f t="shared" si="22"/>
        <v>Presidência</v>
      </c>
      <c r="E238" s="53" t="str">
        <f t="shared" si="23"/>
        <v>Oi Fibra</v>
      </c>
      <c r="F238" s="53" t="str">
        <f t="shared" si="24"/>
        <v>Marketing Oi Fibra</v>
      </c>
      <c r="G238" s="53" t="str">
        <f t="shared" si="25"/>
        <v>Gestão da Experiência de Novos Clientes</v>
      </c>
      <c r="H238" s="53" t="str">
        <f t="shared" si="26"/>
        <v>Qualidade de Vendas</v>
      </c>
      <c r="I238" s="53" t="str">
        <f t="shared" si="27"/>
        <v>Qualidade de Vendas</v>
      </c>
      <c r="J238" s="53" t="str">
        <f t="shared" si="28"/>
        <v>Qualidade de Vendas</v>
      </c>
      <c r="K238" s="55" t="s">
        <v>931</v>
      </c>
      <c r="L238" s="55">
        <v>347905</v>
      </c>
      <c r="M238" s="44" t="s">
        <v>932</v>
      </c>
      <c r="N238" s="55" t="s">
        <v>22</v>
      </c>
      <c r="O238" s="55" t="s">
        <v>933</v>
      </c>
      <c r="P238" s="55"/>
      <c r="Q238" s="55"/>
      <c r="R238" s="55" t="s">
        <v>35</v>
      </c>
      <c r="S238" s="55" t="s">
        <v>389</v>
      </c>
    </row>
    <row r="239" spans="1:19" ht="15" hidden="1" customHeight="1" x14ac:dyDescent="0.2">
      <c r="A239" s="19" t="s">
        <v>6</v>
      </c>
      <c r="B239" s="20" t="s">
        <v>897</v>
      </c>
      <c r="C239" s="20" t="s">
        <v>934</v>
      </c>
      <c r="D239" s="20" t="str">
        <f t="shared" si="22"/>
        <v>Presidência</v>
      </c>
      <c r="E239" s="20" t="str">
        <f t="shared" si="23"/>
        <v>Oi Fibra</v>
      </c>
      <c r="F239" s="20" t="str">
        <f t="shared" si="24"/>
        <v>Marketing Oi Fibra</v>
      </c>
      <c r="G239" s="20" t="str">
        <f t="shared" si="25"/>
        <v>Gestão de Projetos</v>
      </c>
      <c r="H239" s="20" t="str">
        <f t="shared" si="26"/>
        <v>Gestão de Projetos</v>
      </c>
      <c r="I239" s="20" t="str">
        <f t="shared" si="27"/>
        <v>Gestão de Projetos</v>
      </c>
      <c r="J239" s="20" t="str">
        <f t="shared" si="28"/>
        <v>Gestão de Projetos</v>
      </c>
      <c r="K239" s="28" t="s">
        <v>935</v>
      </c>
      <c r="L239" s="22"/>
      <c r="M239" s="77" t="s">
        <v>66</v>
      </c>
      <c r="N239" s="56" t="s">
        <v>22</v>
      </c>
      <c r="O239" s="56" t="s">
        <v>936</v>
      </c>
      <c r="P239" s="56"/>
      <c r="Q239" s="56"/>
      <c r="R239" s="22" t="s">
        <v>35</v>
      </c>
      <c r="S239" s="22" t="s">
        <v>389</v>
      </c>
    </row>
    <row r="240" spans="1:19" ht="15" hidden="1" customHeight="1" x14ac:dyDescent="0.2">
      <c r="A240" s="19" t="s">
        <v>6</v>
      </c>
      <c r="B240" s="20" t="s">
        <v>897</v>
      </c>
      <c r="C240" s="20" t="s">
        <v>937</v>
      </c>
      <c r="D240" s="20" t="str">
        <f t="shared" si="22"/>
        <v>Presidência</v>
      </c>
      <c r="E240" s="20" t="str">
        <f t="shared" si="23"/>
        <v>Oi Fibra</v>
      </c>
      <c r="F240" s="20" t="str">
        <f t="shared" si="24"/>
        <v>Marketing Oi Fibra</v>
      </c>
      <c r="G240" s="20" t="str">
        <f t="shared" si="25"/>
        <v>Gestão da Jornada de Uso Oi Fibra</v>
      </c>
      <c r="H240" s="20" t="str">
        <f t="shared" si="26"/>
        <v>Gestão da Jornada de Uso Oi Fibra</v>
      </c>
      <c r="I240" s="20" t="str">
        <f t="shared" si="27"/>
        <v>Gestão da Jornada de Uso Oi Fibra</v>
      </c>
      <c r="J240" s="20" t="str">
        <f t="shared" si="28"/>
        <v>Gestão da Jornada de Uso Oi Fibra</v>
      </c>
      <c r="K240" s="28" t="s">
        <v>938</v>
      </c>
      <c r="L240" s="22">
        <v>311489</v>
      </c>
      <c r="M240" s="23" t="s">
        <v>939</v>
      </c>
      <c r="N240" s="56" t="s">
        <v>22</v>
      </c>
      <c r="O240" s="56" t="s">
        <v>940</v>
      </c>
      <c r="P240" s="56"/>
      <c r="Q240" s="56"/>
      <c r="R240" s="22" t="s">
        <v>30</v>
      </c>
      <c r="S240" s="22" t="s">
        <v>389</v>
      </c>
    </row>
    <row r="241" spans="1:19" ht="15" hidden="1" customHeight="1" x14ac:dyDescent="0.2">
      <c r="A241" s="52" t="s">
        <v>7</v>
      </c>
      <c r="B241" s="53" t="s">
        <v>897</v>
      </c>
      <c r="C241" s="53" t="s">
        <v>941</v>
      </c>
      <c r="D241" s="53" t="str">
        <f t="shared" si="22"/>
        <v>Presidência</v>
      </c>
      <c r="E241" s="53" t="str">
        <f t="shared" si="23"/>
        <v>Oi Fibra</v>
      </c>
      <c r="F241" s="53" t="str">
        <f t="shared" si="24"/>
        <v>Marketing Oi Fibra</v>
      </c>
      <c r="G241" s="53" t="str">
        <f t="shared" si="25"/>
        <v>Gestão da Jornada de Uso Oi Fibra</v>
      </c>
      <c r="H241" s="53" t="str">
        <f t="shared" si="26"/>
        <v>Inteligência de Base</v>
      </c>
      <c r="I241" s="53" t="str">
        <f t="shared" si="27"/>
        <v>Inteligência de Base</v>
      </c>
      <c r="J241" s="53" t="str">
        <f t="shared" si="28"/>
        <v>Inteligência de Base</v>
      </c>
      <c r="K241" s="55" t="s">
        <v>942</v>
      </c>
      <c r="L241" s="55"/>
      <c r="M241" s="64" t="s">
        <v>66</v>
      </c>
      <c r="N241" s="55" t="s">
        <v>22</v>
      </c>
      <c r="O241" s="55" t="s">
        <v>940</v>
      </c>
      <c r="P241" s="55"/>
      <c r="Q241" s="55"/>
      <c r="R241" s="55" t="s">
        <v>35</v>
      </c>
      <c r="S241" s="55" t="s">
        <v>389</v>
      </c>
    </row>
    <row r="242" spans="1:19" ht="15" hidden="1" customHeight="1" x14ac:dyDescent="0.2">
      <c r="A242" s="52" t="s">
        <v>7</v>
      </c>
      <c r="B242" s="53" t="s">
        <v>897</v>
      </c>
      <c r="C242" s="53" t="s">
        <v>943</v>
      </c>
      <c r="D242" s="53" t="str">
        <f t="shared" si="22"/>
        <v>Presidência</v>
      </c>
      <c r="E242" s="53" t="str">
        <f t="shared" si="23"/>
        <v>Oi Fibra</v>
      </c>
      <c r="F242" s="53" t="str">
        <f t="shared" si="24"/>
        <v>Marketing Oi Fibra</v>
      </c>
      <c r="G242" s="53" t="str">
        <f t="shared" si="25"/>
        <v>Gestão da Jornada de Uso Oi Fibra</v>
      </c>
      <c r="H242" s="53" t="str">
        <f t="shared" si="26"/>
        <v>Gestão da Experiência de Uso</v>
      </c>
      <c r="I242" s="53" t="str">
        <f t="shared" si="27"/>
        <v>Gestão da Experiência de Uso</v>
      </c>
      <c r="J242" s="53" t="str">
        <f t="shared" si="28"/>
        <v>Gestão da Experiência de Uso</v>
      </c>
      <c r="K242" s="55" t="s">
        <v>944</v>
      </c>
      <c r="L242" s="55">
        <v>319732</v>
      </c>
      <c r="M242" s="44" t="s">
        <v>945</v>
      </c>
      <c r="N242" s="55" t="s">
        <v>22</v>
      </c>
      <c r="O242" s="55" t="s">
        <v>940</v>
      </c>
      <c r="P242" s="55"/>
      <c r="Q242" s="55"/>
      <c r="R242" s="55" t="s">
        <v>35</v>
      </c>
      <c r="S242" s="55" t="s">
        <v>389</v>
      </c>
    </row>
    <row r="243" spans="1:19" ht="15" hidden="1" customHeight="1" x14ac:dyDescent="0.2">
      <c r="A243" s="52" t="s">
        <v>7</v>
      </c>
      <c r="B243" s="53" t="s">
        <v>897</v>
      </c>
      <c r="C243" s="53" t="s">
        <v>946</v>
      </c>
      <c r="D243" s="53" t="str">
        <f t="shared" si="22"/>
        <v>Presidência</v>
      </c>
      <c r="E243" s="53" t="str">
        <f t="shared" si="23"/>
        <v>Oi Fibra</v>
      </c>
      <c r="F243" s="53" t="str">
        <f t="shared" si="24"/>
        <v>Marketing Oi Fibra</v>
      </c>
      <c r="G243" s="53" t="str">
        <f t="shared" si="25"/>
        <v>Gestão da Jornada de Uso Oi Fibra</v>
      </c>
      <c r="H243" s="53" t="str">
        <f t="shared" si="26"/>
        <v>Gestão da Rentabilização e Blindagem</v>
      </c>
      <c r="I243" s="53" t="str">
        <f t="shared" si="27"/>
        <v>Gestão da Rentabilização e Blindagem</v>
      </c>
      <c r="J243" s="53" t="str">
        <f t="shared" si="28"/>
        <v>Gestão da Rentabilização e Blindagem</v>
      </c>
      <c r="K243" s="55" t="s">
        <v>947</v>
      </c>
      <c r="L243" s="55">
        <v>234661</v>
      </c>
      <c r="M243" s="44" t="s">
        <v>948</v>
      </c>
      <c r="N243" s="55" t="s">
        <v>22</v>
      </c>
      <c r="O243" s="55" t="s">
        <v>940</v>
      </c>
      <c r="P243" s="55"/>
      <c r="Q243" s="55"/>
      <c r="R243" s="55" t="s">
        <v>35</v>
      </c>
      <c r="S243" s="55" t="s">
        <v>389</v>
      </c>
    </row>
    <row r="244" spans="1:19" ht="15" hidden="1" customHeight="1" x14ac:dyDescent="0.2">
      <c r="A244" s="52" t="s">
        <v>7</v>
      </c>
      <c r="B244" s="53" t="s">
        <v>897</v>
      </c>
      <c r="C244" s="53" t="s">
        <v>949</v>
      </c>
      <c r="D244" s="53" t="str">
        <f t="shared" si="22"/>
        <v>Presidência</v>
      </c>
      <c r="E244" s="53" t="str">
        <f t="shared" si="23"/>
        <v>Oi Fibra</v>
      </c>
      <c r="F244" s="53" t="str">
        <f t="shared" si="24"/>
        <v>Marketing Oi Fibra</v>
      </c>
      <c r="G244" s="53" t="str">
        <f t="shared" si="25"/>
        <v>Gestão da Jornada de Uso Oi Fibra</v>
      </c>
      <c r="H244" s="53" t="str">
        <f t="shared" si="26"/>
        <v>Gestão da Saída Voluntária</v>
      </c>
      <c r="I244" s="53" t="str">
        <f t="shared" si="27"/>
        <v>Gestão da Saída Voluntária</v>
      </c>
      <c r="J244" s="53" t="str">
        <f t="shared" si="28"/>
        <v>Gestão da Saída Voluntária</v>
      </c>
      <c r="K244" s="55" t="s">
        <v>950</v>
      </c>
      <c r="L244" s="55">
        <v>308345</v>
      </c>
      <c r="M244" s="44" t="s">
        <v>951</v>
      </c>
      <c r="N244" s="55" t="s">
        <v>22</v>
      </c>
      <c r="O244" s="55" t="s">
        <v>940</v>
      </c>
      <c r="P244" s="55"/>
      <c r="Q244" s="55"/>
      <c r="R244" s="55" t="s">
        <v>35</v>
      </c>
      <c r="S244" s="55" t="s">
        <v>389</v>
      </c>
    </row>
    <row r="245" spans="1:19" ht="15" hidden="1" customHeight="1" x14ac:dyDescent="0.2">
      <c r="A245" s="52" t="s">
        <v>7</v>
      </c>
      <c r="B245" s="53" t="s">
        <v>897</v>
      </c>
      <c r="C245" s="53" t="s">
        <v>952</v>
      </c>
      <c r="D245" s="53" t="str">
        <f t="shared" si="22"/>
        <v>Presidência</v>
      </c>
      <c r="E245" s="53" t="str">
        <f t="shared" si="23"/>
        <v>Oi Fibra</v>
      </c>
      <c r="F245" s="53" t="str">
        <f t="shared" si="24"/>
        <v>Marketing Oi Fibra</v>
      </c>
      <c r="G245" s="53" t="str">
        <f t="shared" si="25"/>
        <v>Gestão da Jornada de Uso Oi Fibra</v>
      </c>
      <c r="H245" s="53" t="str">
        <f t="shared" si="26"/>
        <v>Gestão da Saída Involuntária</v>
      </c>
      <c r="I245" s="53" t="str">
        <f t="shared" si="27"/>
        <v>Gestão da Saída Involuntária</v>
      </c>
      <c r="J245" s="53" t="str">
        <f t="shared" si="28"/>
        <v>Gestão da Saída Involuntária</v>
      </c>
      <c r="K245" s="55" t="s">
        <v>953</v>
      </c>
      <c r="L245" s="55">
        <v>337040</v>
      </c>
      <c r="M245" s="44" t="s">
        <v>954</v>
      </c>
      <c r="N245" s="55" t="s">
        <v>22</v>
      </c>
      <c r="O245" s="55" t="s">
        <v>940</v>
      </c>
      <c r="P245" s="55"/>
      <c r="Q245" s="55"/>
      <c r="R245" s="55" t="s">
        <v>35</v>
      </c>
      <c r="S245" s="55" t="s">
        <v>389</v>
      </c>
    </row>
    <row r="246" spans="1:19" ht="15" hidden="1" customHeight="1" x14ac:dyDescent="0.2">
      <c r="A246" s="14" t="s">
        <v>5</v>
      </c>
      <c r="B246" s="15" t="s">
        <v>897</v>
      </c>
      <c r="C246" s="15" t="s">
        <v>955</v>
      </c>
      <c r="D246" s="15" t="str">
        <f t="shared" si="22"/>
        <v>Presidência</v>
      </c>
      <c r="E246" s="15" t="str">
        <f t="shared" si="23"/>
        <v>Oi Fibra</v>
      </c>
      <c r="F246" s="15" t="str">
        <f t="shared" si="24"/>
        <v>Marketplace Oi Place</v>
      </c>
      <c r="G246" s="15" t="str">
        <f t="shared" si="25"/>
        <v>Marketplace Oi Place</v>
      </c>
      <c r="H246" s="15" t="str">
        <f t="shared" si="26"/>
        <v>Marketplace Oi Place</v>
      </c>
      <c r="I246" s="15" t="str">
        <f t="shared" si="27"/>
        <v>Marketplace Oi Place</v>
      </c>
      <c r="J246" s="15" t="str">
        <f t="shared" si="28"/>
        <v>Marketplace Oi Place</v>
      </c>
      <c r="K246" s="17" t="s">
        <v>956</v>
      </c>
      <c r="L246" s="17">
        <v>417184</v>
      </c>
      <c r="M246" s="18" t="s">
        <v>957</v>
      </c>
      <c r="N246" s="17" t="s">
        <v>22</v>
      </c>
      <c r="O246" s="17" t="s">
        <v>958</v>
      </c>
      <c r="P246" s="17"/>
      <c r="Q246" s="17"/>
      <c r="R246" s="17" t="s">
        <v>30</v>
      </c>
      <c r="S246" s="17" t="s">
        <v>402</v>
      </c>
    </row>
    <row r="247" spans="1:19" ht="15" hidden="1" customHeight="1" x14ac:dyDescent="0.2">
      <c r="A247" s="4" t="s">
        <v>6</v>
      </c>
      <c r="B247" s="41" t="s">
        <v>897</v>
      </c>
      <c r="C247" s="41" t="s">
        <v>959</v>
      </c>
      <c r="D247" s="41" t="str">
        <f t="shared" si="22"/>
        <v>Presidência</v>
      </c>
      <c r="E247" s="41" t="str">
        <f t="shared" si="23"/>
        <v>Oi Fibra</v>
      </c>
      <c r="F247" s="41" t="str">
        <f t="shared" si="24"/>
        <v>Marketplace Oi Place</v>
      </c>
      <c r="G247" s="41" t="str">
        <f t="shared" si="25"/>
        <v>Marketing Oi Place</v>
      </c>
      <c r="H247" s="41" t="str">
        <f t="shared" si="26"/>
        <v>Marketing Oi Place</v>
      </c>
      <c r="I247" s="41" t="str">
        <f t="shared" si="27"/>
        <v>Marketing Oi Place</v>
      </c>
      <c r="J247" s="41" t="str">
        <f t="shared" si="28"/>
        <v>Marketing Oi Place</v>
      </c>
      <c r="K247" s="56" t="s">
        <v>960</v>
      </c>
      <c r="L247" s="56">
        <v>308011</v>
      </c>
      <c r="M247" s="57" t="s">
        <v>961</v>
      </c>
      <c r="N247" s="58" t="s">
        <v>22</v>
      </c>
      <c r="O247" s="58" t="s">
        <v>962</v>
      </c>
      <c r="R247" s="58" t="s">
        <v>35</v>
      </c>
      <c r="S247" s="58" t="s">
        <v>402</v>
      </c>
    </row>
    <row r="248" spans="1:19" ht="15" hidden="1" customHeight="1" x14ac:dyDescent="0.2">
      <c r="A248" s="4" t="s">
        <v>6</v>
      </c>
      <c r="B248" s="41" t="s">
        <v>897</v>
      </c>
      <c r="C248" s="41" t="s">
        <v>963</v>
      </c>
      <c r="D248" s="41" t="str">
        <f t="shared" si="22"/>
        <v>Presidência</v>
      </c>
      <c r="E248" s="41" t="str">
        <f t="shared" si="23"/>
        <v>Oi Fibra</v>
      </c>
      <c r="F248" s="41" t="str">
        <f t="shared" si="24"/>
        <v>Marketplace Oi Place</v>
      </c>
      <c r="G248" s="41" t="str">
        <f t="shared" si="25"/>
        <v>Operações Oi Place</v>
      </c>
      <c r="H248" s="41" t="str">
        <f t="shared" si="26"/>
        <v>Operações Oi Place</v>
      </c>
      <c r="I248" s="41" t="str">
        <f t="shared" si="27"/>
        <v>Operações Oi Place</v>
      </c>
      <c r="J248" s="41" t="str">
        <f t="shared" si="28"/>
        <v>Operações Oi Place</v>
      </c>
      <c r="K248" s="56" t="s">
        <v>964</v>
      </c>
      <c r="L248" s="56">
        <v>417397</v>
      </c>
      <c r="M248" s="57" t="s">
        <v>965</v>
      </c>
      <c r="N248" s="58" t="s">
        <v>22</v>
      </c>
      <c r="O248" s="58" t="s">
        <v>966</v>
      </c>
      <c r="R248" s="58" t="s">
        <v>35</v>
      </c>
      <c r="S248" s="58" t="s">
        <v>402</v>
      </c>
    </row>
    <row r="249" spans="1:19" ht="15" hidden="1" customHeight="1" x14ac:dyDescent="0.2">
      <c r="A249" s="4" t="s">
        <v>6</v>
      </c>
      <c r="B249" s="41" t="s">
        <v>897</v>
      </c>
      <c r="C249" s="41" t="s">
        <v>967</v>
      </c>
      <c r="D249" s="41" t="str">
        <f t="shared" si="22"/>
        <v>Presidência</v>
      </c>
      <c r="E249" s="41" t="str">
        <f t="shared" si="23"/>
        <v>Oi Fibra</v>
      </c>
      <c r="F249" s="41" t="str">
        <f t="shared" si="24"/>
        <v>Marketplace Oi Place</v>
      </c>
      <c r="G249" s="41" t="str">
        <f t="shared" si="25"/>
        <v>Negócios Oi Place</v>
      </c>
      <c r="H249" s="41" t="str">
        <f t="shared" si="26"/>
        <v>Negócios Oi Place</v>
      </c>
      <c r="I249" s="41" t="str">
        <f t="shared" si="27"/>
        <v>Negócios Oi Place</v>
      </c>
      <c r="J249" s="41" t="str">
        <f t="shared" si="28"/>
        <v>Negócios Oi Place</v>
      </c>
      <c r="K249" s="56" t="s">
        <v>968</v>
      </c>
      <c r="L249" s="56">
        <v>417949</v>
      </c>
      <c r="M249" s="57" t="s">
        <v>969</v>
      </c>
      <c r="N249" s="58" t="s">
        <v>22</v>
      </c>
      <c r="O249" s="58" t="s">
        <v>970</v>
      </c>
      <c r="R249" s="58" t="s">
        <v>35</v>
      </c>
      <c r="S249" s="58" t="s">
        <v>402</v>
      </c>
    </row>
    <row r="250" spans="1:19" ht="15" hidden="1" customHeight="1" x14ac:dyDescent="0.2">
      <c r="A250" s="14" t="s">
        <v>5</v>
      </c>
      <c r="B250" s="15" t="s">
        <v>897</v>
      </c>
      <c r="C250" s="15" t="s">
        <v>971</v>
      </c>
      <c r="D250" s="15" t="str">
        <f t="shared" si="22"/>
        <v>Presidência</v>
      </c>
      <c r="E250" s="15" t="str">
        <f t="shared" si="23"/>
        <v>Oi Fibra</v>
      </c>
      <c r="F250" s="15" t="str">
        <f t="shared" si="24"/>
        <v>Canais de Venda e Atendimento</v>
      </c>
      <c r="G250" s="15" t="str">
        <f t="shared" si="25"/>
        <v>Canais de Venda e Atendimento</v>
      </c>
      <c r="H250" s="15" t="str">
        <f t="shared" si="26"/>
        <v>Canais de Venda e Atendimento</v>
      </c>
      <c r="I250" s="15" t="str">
        <f t="shared" si="27"/>
        <v>Canais de Venda e Atendimento</v>
      </c>
      <c r="J250" s="15" t="str">
        <f t="shared" si="28"/>
        <v>Canais de Venda e Atendimento</v>
      </c>
      <c r="K250" s="17" t="s">
        <v>972</v>
      </c>
      <c r="L250" s="17">
        <v>91719</v>
      </c>
      <c r="M250" s="18" t="s">
        <v>973</v>
      </c>
      <c r="N250" s="17" t="s">
        <v>22</v>
      </c>
      <c r="O250" s="17" t="s">
        <v>974</v>
      </c>
      <c r="P250" s="17"/>
      <c r="Q250" s="17"/>
      <c r="R250" s="17" t="s">
        <v>30</v>
      </c>
      <c r="S250" s="17" t="s">
        <v>389</v>
      </c>
    </row>
    <row r="251" spans="1:19" ht="15" hidden="1" customHeight="1" x14ac:dyDescent="0.2">
      <c r="A251" s="25" t="s">
        <v>6</v>
      </c>
      <c r="B251" s="26" t="s">
        <v>897</v>
      </c>
      <c r="C251" s="26" t="s">
        <v>975</v>
      </c>
      <c r="D251" s="26" t="str">
        <f t="shared" si="22"/>
        <v>Presidência</v>
      </c>
      <c r="E251" s="26" t="str">
        <f t="shared" si="23"/>
        <v>Oi Fibra</v>
      </c>
      <c r="F251" s="26" t="str">
        <f t="shared" si="24"/>
        <v>Canais de Venda e Atendimento</v>
      </c>
      <c r="G251" s="26" t="str">
        <f t="shared" si="25"/>
        <v>Canais Remotos e Regional Vendas SP</v>
      </c>
      <c r="H251" s="26" t="str">
        <f t="shared" si="26"/>
        <v>Canais Remotos e Regional Vendas SP</v>
      </c>
      <c r="I251" s="26" t="str">
        <f t="shared" si="27"/>
        <v>Canais Remotos e Regional Vendas SP</v>
      </c>
      <c r="J251" s="26" t="str">
        <f t="shared" si="28"/>
        <v>Canais Remotos e Regional Vendas SP</v>
      </c>
      <c r="K251" s="28" t="s">
        <v>976</v>
      </c>
      <c r="L251" s="28">
        <v>272904</v>
      </c>
      <c r="M251" s="29" t="s">
        <v>977</v>
      </c>
      <c r="N251" s="28" t="s">
        <v>22</v>
      </c>
      <c r="O251" s="28" t="s">
        <v>978</v>
      </c>
      <c r="P251" s="28"/>
      <c r="Q251" s="28"/>
      <c r="R251" s="28" t="s">
        <v>30</v>
      </c>
      <c r="S251" s="28" t="s">
        <v>389</v>
      </c>
    </row>
    <row r="252" spans="1:19" ht="15" hidden="1" customHeight="1" x14ac:dyDescent="0.2">
      <c r="A252" s="52" t="s">
        <v>7</v>
      </c>
      <c r="B252" s="53" t="s">
        <v>897</v>
      </c>
      <c r="C252" s="53" t="s">
        <v>979</v>
      </c>
      <c r="D252" s="53" t="str">
        <f t="shared" si="22"/>
        <v>Presidência</v>
      </c>
      <c r="E252" s="53" t="str">
        <f t="shared" si="23"/>
        <v>Oi Fibra</v>
      </c>
      <c r="F252" s="53" t="str">
        <f t="shared" si="24"/>
        <v>Canais de Venda e Atendimento</v>
      </c>
      <c r="G252" s="53" t="str">
        <f t="shared" si="25"/>
        <v>Canais Remotos e Regional Vendas SP</v>
      </c>
      <c r="H252" s="53" t="str">
        <f t="shared" si="26"/>
        <v>Rentabilização Canais Nacionais</v>
      </c>
      <c r="I252" s="53" t="str">
        <f t="shared" si="27"/>
        <v>Rentabilização Canais Nacionais</v>
      </c>
      <c r="J252" s="53" t="str">
        <f t="shared" si="28"/>
        <v>Rentabilização Canais Nacionais</v>
      </c>
      <c r="K252" s="55" t="s">
        <v>980</v>
      </c>
      <c r="L252" s="55">
        <v>172558</v>
      </c>
      <c r="M252" s="44" t="s">
        <v>981</v>
      </c>
      <c r="N252" s="55" t="s">
        <v>22</v>
      </c>
      <c r="O252" s="55" t="s">
        <v>982</v>
      </c>
      <c r="P252" s="55"/>
      <c r="Q252" s="55"/>
      <c r="R252" s="55" t="s">
        <v>35</v>
      </c>
      <c r="S252" s="55" t="s">
        <v>389</v>
      </c>
    </row>
    <row r="253" spans="1:19" ht="15" hidden="1" customHeight="1" x14ac:dyDescent="0.2">
      <c r="A253" s="52" t="s">
        <v>7</v>
      </c>
      <c r="B253" s="53" t="s">
        <v>897</v>
      </c>
      <c r="C253" s="53" t="s">
        <v>983</v>
      </c>
      <c r="D253" s="53" t="str">
        <f t="shared" si="22"/>
        <v>Presidência</v>
      </c>
      <c r="E253" s="53" t="str">
        <f t="shared" si="23"/>
        <v>Oi Fibra</v>
      </c>
      <c r="F253" s="53" t="str">
        <f t="shared" si="24"/>
        <v>Canais de Venda e Atendimento</v>
      </c>
      <c r="G253" s="53" t="str">
        <f t="shared" si="25"/>
        <v>Canais Remotos e Regional Vendas SP</v>
      </c>
      <c r="H253" s="53" t="str">
        <f t="shared" si="26"/>
        <v>Operação Própria TLV/Chat/Anteneiros</v>
      </c>
      <c r="I253" s="53" t="str">
        <f t="shared" si="27"/>
        <v>Operação Própria TLV/Chat/Anteneiros</v>
      </c>
      <c r="J253" s="53" t="str">
        <f t="shared" si="28"/>
        <v>Operação Própria TLV/Chat/Anteneiros</v>
      </c>
      <c r="K253" s="55" t="s">
        <v>984</v>
      </c>
      <c r="L253" s="55">
        <v>320673</v>
      </c>
      <c r="M253" s="44" t="s">
        <v>985</v>
      </c>
      <c r="N253" s="55" t="s">
        <v>22</v>
      </c>
      <c r="O253" s="55" t="s">
        <v>986</v>
      </c>
      <c r="P253" s="55"/>
      <c r="Q253" s="55"/>
      <c r="R253" s="55" t="s">
        <v>35</v>
      </c>
      <c r="S253" s="55" t="s">
        <v>389</v>
      </c>
    </row>
    <row r="254" spans="1:19" ht="15" hidden="1" customHeight="1" x14ac:dyDescent="0.2">
      <c r="A254" s="52" t="s">
        <v>7</v>
      </c>
      <c r="B254" s="53" t="s">
        <v>897</v>
      </c>
      <c r="C254" s="53" t="s">
        <v>987</v>
      </c>
      <c r="D254" s="53" t="str">
        <f t="shared" si="22"/>
        <v>Presidência</v>
      </c>
      <c r="E254" s="53" t="str">
        <f t="shared" si="23"/>
        <v>Oi Fibra</v>
      </c>
      <c r="F254" s="53" t="str">
        <f t="shared" si="24"/>
        <v>Canais de Venda e Atendimento</v>
      </c>
      <c r="G254" s="53" t="str">
        <f t="shared" si="25"/>
        <v>Canais Remotos e Regional Vendas SP</v>
      </c>
      <c r="H254" s="53" t="str">
        <f t="shared" si="26"/>
        <v>Operação Terceiros/Afiliados e Regional Vendas SP</v>
      </c>
      <c r="I254" s="53" t="str">
        <f t="shared" si="27"/>
        <v>Operação Terceiros/Afiliados e Regional Vendas SP</v>
      </c>
      <c r="J254" s="53" t="str">
        <f t="shared" si="28"/>
        <v>Operação Terceiros/Afiliados e Regional Vendas SP</v>
      </c>
      <c r="K254" s="55" t="s">
        <v>988</v>
      </c>
      <c r="L254" s="55">
        <v>339442</v>
      </c>
      <c r="M254" s="44" t="s">
        <v>989</v>
      </c>
      <c r="N254" s="55" t="s">
        <v>22</v>
      </c>
      <c r="O254" s="55" t="s">
        <v>990</v>
      </c>
      <c r="P254" s="55"/>
      <c r="Q254" s="55"/>
      <c r="R254" s="55" t="s">
        <v>35</v>
      </c>
      <c r="S254" s="55" t="s">
        <v>389</v>
      </c>
    </row>
    <row r="255" spans="1:19" ht="15" hidden="1" customHeight="1" x14ac:dyDescent="0.2">
      <c r="A255" s="52" t="s">
        <v>7</v>
      </c>
      <c r="B255" s="53" t="s">
        <v>897</v>
      </c>
      <c r="C255" s="53" t="s">
        <v>991</v>
      </c>
      <c r="D255" s="53" t="str">
        <f t="shared" si="22"/>
        <v>Presidência</v>
      </c>
      <c r="E255" s="53" t="str">
        <f t="shared" si="23"/>
        <v>Oi Fibra</v>
      </c>
      <c r="F255" s="53" t="str">
        <f t="shared" si="24"/>
        <v>Canais de Venda e Atendimento</v>
      </c>
      <c r="G255" s="53" t="str">
        <f t="shared" si="25"/>
        <v>Canais Remotos e Regional Vendas SP</v>
      </c>
      <c r="H255" s="53" t="str">
        <f t="shared" si="26"/>
        <v>Estratégia de E-Commerce e Planejamento</v>
      </c>
      <c r="I255" s="53" t="str">
        <f t="shared" si="27"/>
        <v>Estratégia de E-Commerce e Planejamento</v>
      </c>
      <c r="J255" s="53" t="str">
        <f t="shared" si="28"/>
        <v>Estratégia de E-Commerce e Planejamento</v>
      </c>
      <c r="K255" s="55" t="s">
        <v>992</v>
      </c>
      <c r="L255" s="55">
        <v>273719</v>
      </c>
      <c r="M255" s="44" t="s">
        <v>993</v>
      </c>
      <c r="N255" s="55" t="s">
        <v>22</v>
      </c>
      <c r="O255" s="55" t="s">
        <v>994</v>
      </c>
      <c r="P255" s="55"/>
      <c r="Q255" s="55"/>
      <c r="R255" s="55" t="s">
        <v>35</v>
      </c>
      <c r="S255" s="55" t="s">
        <v>389</v>
      </c>
    </row>
    <row r="256" spans="1:19" ht="15" hidden="1" customHeight="1" x14ac:dyDescent="0.2">
      <c r="A256" s="25" t="s">
        <v>6</v>
      </c>
      <c r="B256" s="26" t="s">
        <v>897</v>
      </c>
      <c r="C256" s="26" t="s">
        <v>995</v>
      </c>
      <c r="D256" s="26" t="str">
        <f t="shared" si="22"/>
        <v>Presidência</v>
      </c>
      <c r="E256" s="26" t="str">
        <f t="shared" si="23"/>
        <v>Oi Fibra</v>
      </c>
      <c r="F256" s="26" t="str">
        <f t="shared" si="24"/>
        <v>Canais de Venda e Atendimento</v>
      </c>
      <c r="G256" s="26" t="str">
        <f t="shared" si="25"/>
        <v>Regional Vendas RJ, MG e ES</v>
      </c>
      <c r="H256" s="26" t="str">
        <f t="shared" si="26"/>
        <v>Regional Vendas RJ, MG e ES</v>
      </c>
      <c r="I256" s="26" t="str">
        <f t="shared" si="27"/>
        <v>Regional Vendas RJ, MG e ES</v>
      </c>
      <c r="J256" s="26" t="str">
        <f t="shared" si="28"/>
        <v>Regional Vendas RJ, MG e ES</v>
      </c>
      <c r="K256" s="28" t="s">
        <v>996</v>
      </c>
      <c r="L256" s="28">
        <v>65057</v>
      </c>
      <c r="M256" s="29" t="s">
        <v>997</v>
      </c>
      <c r="N256" s="28" t="s">
        <v>22</v>
      </c>
      <c r="O256" s="28" t="s">
        <v>998</v>
      </c>
      <c r="P256" s="28"/>
      <c r="Q256" s="28"/>
      <c r="R256" s="28" t="s">
        <v>30</v>
      </c>
      <c r="S256" s="28" t="s">
        <v>389</v>
      </c>
    </row>
    <row r="257" spans="1:19" ht="15" hidden="1" customHeight="1" x14ac:dyDescent="0.2">
      <c r="A257" s="52" t="s">
        <v>7</v>
      </c>
      <c r="B257" s="53" t="s">
        <v>897</v>
      </c>
      <c r="C257" s="53" t="s">
        <v>999</v>
      </c>
      <c r="D257" s="53" t="str">
        <f t="shared" si="22"/>
        <v>Presidência</v>
      </c>
      <c r="E257" s="53" t="str">
        <f t="shared" si="23"/>
        <v>Oi Fibra</v>
      </c>
      <c r="F257" s="53" t="str">
        <f t="shared" si="24"/>
        <v>Canais de Venda e Atendimento</v>
      </c>
      <c r="G257" s="53" t="str">
        <f t="shared" si="25"/>
        <v>Regional Vendas RJ, MG e ES</v>
      </c>
      <c r="H257" s="53" t="str">
        <f t="shared" si="26"/>
        <v>Planejamento e Performance de Canais (RSE)</v>
      </c>
      <c r="I257" s="53" t="str">
        <f t="shared" si="27"/>
        <v>Planejamento e Performance de Canais (RSE)</v>
      </c>
      <c r="J257" s="53" t="str">
        <f t="shared" si="28"/>
        <v>Planejamento e Performance de Canais (RSE)</v>
      </c>
      <c r="K257" s="55" t="s">
        <v>1000</v>
      </c>
      <c r="L257" s="55">
        <v>320570</v>
      </c>
      <c r="M257" s="44" t="s">
        <v>1001</v>
      </c>
      <c r="N257" s="55" t="s">
        <v>22</v>
      </c>
      <c r="O257" s="55" t="s">
        <v>1002</v>
      </c>
      <c r="P257" s="55"/>
      <c r="Q257" s="55"/>
      <c r="R257" s="55" t="s">
        <v>35</v>
      </c>
      <c r="S257" s="55" t="s">
        <v>389</v>
      </c>
    </row>
    <row r="258" spans="1:19" ht="15" hidden="1" customHeight="1" x14ac:dyDescent="0.2">
      <c r="A258" s="65" t="s">
        <v>1003</v>
      </c>
      <c r="B258" s="66" t="s">
        <v>897</v>
      </c>
      <c r="C258" s="66" t="s">
        <v>1004</v>
      </c>
      <c r="D258" s="66" t="str">
        <f t="shared" si="22"/>
        <v>Presidência</v>
      </c>
      <c r="E258" s="66" t="str">
        <f t="shared" si="23"/>
        <v>Oi Fibra</v>
      </c>
      <c r="F258" s="66" t="str">
        <f t="shared" si="24"/>
        <v>Canais de Venda e Atendimento</v>
      </c>
      <c r="G258" s="66" t="str">
        <f t="shared" si="25"/>
        <v>Regional Vendas RJ, MG e ES</v>
      </c>
      <c r="H258" s="66" t="str">
        <f t="shared" si="26"/>
        <v>Planejamento e Performance de Canais (RSE)</v>
      </c>
      <c r="I258" s="66" t="str">
        <f t="shared" si="27"/>
        <v>Planejamento e Performance de Canais (RSE)</v>
      </c>
      <c r="J258" s="66" t="str">
        <f t="shared" si="28"/>
        <v>Planejamento e Performance de Canais (RSE)</v>
      </c>
      <c r="K258" s="67" t="s">
        <v>1005</v>
      </c>
      <c r="L258" s="67"/>
      <c r="M258" s="68" t="s">
        <v>66</v>
      </c>
      <c r="N258" s="67" t="s">
        <v>22</v>
      </c>
      <c r="O258" s="67" t="s">
        <v>1006</v>
      </c>
      <c r="P258" s="67"/>
      <c r="Q258" s="67"/>
      <c r="R258" s="67" t="s">
        <v>35</v>
      </c>
      <c r="S258" s="67" t="s">
        <v>389</v>
      </c>
    </row>
    <row r="259" spans="1:19" ht="15" hidden="1" customHeight="1" x14ac:dyDescent="0.2">
      <c r="A259" s="52" t="s">
        <v>7</v>
      </c>
      <c r="B259" s="53" t="s">
        <v>897</v>
      </c>
      <c r="C259" s="53" t="s">
        <v>1007</v>
      </c>
      <c r="D259" s="53" t="str">
        <f t="shared" ref="D259:D322" si="29">IF($A259=D$1,$C259,IF(TEXT(RIGHT($A259,1),0)&lt;TEXT(RIGHT(D$1,1),0),C259,D258))</f>
        <v>Presidência</v>
      </c>
      <c r="E259" s="53" t="str">
        <f t="shared" ref="E259:E322" si="30">IF($A259=E$1,$C259,IF(TEXT(RIGHT($A259,1),0)&lt;TEXT(RIGHT(E$1,1),0),D259,E258))</f>
        <v>Oi Fibra</v>
      </c>
      <c r="F259" s="53" t="str">
        <f t="shared" ref="F259:F322" si="31">IF($A259=F$1,$C259,IF(TEXT(RIGHT($A259,1),0)&lt;TEXT(RIGHT(F$1,1),0),E259,F258))</f>
        <v>Canais de Venda e Atendimento</v>
      </c>
      <c r="G259" s="53" t="str">
        <f t="shared" ref="G259:G322" si="32">IF($A259=G$1,$C259,IF(TEXT(RIGHT($A259,1),0)&lt;TEXT(RIGHT(G$1,1),0),F259,G258))</f>
        <v>Regional Vendas RJ, MG e ES</v>
      </c>
      <c r="H259" s="53" t="str">
        <f t="shared" ref="H259:H322" si="33">IF($A259=H$1,$C259,IF(TEXT(RIGHT($A259,1),0)&lt;TEXT(RIGHT(H$1,1),0),G259,H258))</f>
        <v>RSE RJ1 Capital e Costa Verde</v>
      </c>
      <c r="I259" s="53" t="str">
        <f t="shared" ref="I259:I322" si="34">IF($A259=I$1,$C259,IF(TEXT(RIGHT($A259,1),0)&lt;TEXT(RIGHT(I$1,1),0),H259,I258))</f>
        <v>RSE RJ1 Capital e Costa Verde</v>
      </c>
      <c r="J259" s="53" t="str">
        <f t="shared" ref="J259:J322" si="35">IF($A259=J$1,$C259,IF(TEXT(RIGHT($A259,1),0)&lt;TEXT(RIGHT(J$1,1),0),I259,J258))</f>
        <v>RSE RJ1 Capital e Costa Verde</v>
      </c>
      <c r="K259" s="55" t="s">
        <v>1008</v>
      </c>
      <c r="L259" s="55">
        <v>370105</v>
      </c>
      <c r="M259" s="44" t="s">
        <v>1009</v>
      </c>
      <c r="N259" s="55" t="s">
        <v>22</v>
      </c>
      <c r="O259" s="55" t="s">
        <v>1010</v>
      </c>
      <c r="P259" s="55"/>
      <c r="Q259" s="55"/>
      <c r="R259" s="55" t="s">
        <v>35</v>
      </c>
      <c r="S259" s="55" t="s">
        <v>389</v>
      </c>
    </row>
    <row r="260" spans="1:19" ht="15" hidden="1" customHeight="1" x14ac:dyDescent="0.2">
      <c r="A260" s="52" t="s">
        <v>7</v>
      </c>
      <c r="B260" s="53" t="s">
        <v>897</v>
      </c>
      <c r="C260" s="53" t="s">
        <v>1011</v>
      </c>
      <c r="D260" s="53" t="str">
        <f t="shared" si="29"/>
        <v>Presidência</v>
      </c>
      <c r="E260" s="53" t="str">
        <f t="shared" si="30"/>
        <v>Oi Fibra</v>
      </c>
      <c r="F260" s="53" t="str">
        <f t="shared" si="31"/>
        <v>Canais de Venda e Atendimento</v>
      </c>
      <c r="G260" s="53" t="str">
        <f t="shared" si="32"/>
        <v>Regional Vendas RJ, MG e ES</v>
      </c>
      <c r="H260" s="53" t="str">
        <f t="shared" si="33"/>
        <v>RSE RJ2 Baixada, Serrana e Região dos Lagos</v>
      </c>
      <c r="I260" s="53" t="str">
        <f t="shared" si="34"/>
        <v>RSE RJ2 Baixada, Serrana e Região dos Lagos</v>
      </c>
      <c r="J260" s="53" t="str">
        <f t="shared" si="35"/>
        <v>RSE RJ2 Baixada, Serrana e Região dos Lagos</v>
      </c>
      <c r="K260" s="55" t="s">
        <v>1012</v>
      </c>
      <c r="L260" s="55">
        <v>319790</v>
      </c>
      <c r="M260" s="44" t="s">
        <v>1013</v>
      </c>
      <c r="N260" s="55" t="s">
        <v>22</v>
      </c>
      <c r="O260" s="55" t="s">
        <v>1014</v>
      </c>
      <c r="P260" s="55"/>
      <c r="Q260" s="55"/>
      <c r="R260" s="55" t="s">
        <v>35</v>
      </c>
      <c r="S260" s="55" t="s">
        <v>389</v>
      </c>
    </row>
    <row r="261" spans="1:19" ht="15" hidden="1" customHeight="1" x14ac:dyDescent="0.2">
      <c r="A261" s="52" t="s">
        <v>7</v>
      </c>
      <c r="B261" s="53" t="s">
        <v>897</v>
      </c>
      <c r="C261" s="53" t="s">
        <v>1015</v>
      </c>
      <c r="D261" s="53" t="str">
        <f t="shared" si="29"/>
        <v>Presidência</v>
      </c>
      <c r="E261" s="53" t="str">
        <f t="shared" si="30"/>
        <v>Oi Fibra</v>
      </c>
      <c r="F261" s="53" t="str">
        <f t="shared" si="31"/>
        <v>Canais de Venda e Atendimento</v>
      </c>
      <c r="G261" s="53" t="str">
        <f t="shared" si="32"/>
        <v>Regional Vendas RJ, MG e ES</v>
      </c>
      <c r="H261" s="53" t="str">
        <f t="shared" si="33"/>
        <v>RSE MG Interior</v>
      </c>
      <c r="I261" s="53" t="str">
        <f t="shared" si="34"/>
        <v>RSE MG Interior</v>
      </c>
      <c r="J261" s="53" t="str">
        <f t="shared" si="35"/>
        <v>RSE MG Interior</v>
      </c>
      <c r="K261" s="55" t="s">
        <v>1016</v>
      </c>
      <c r="L261" s="55">
        <v>330668</v>
      </c>
      <c r="M261" s="44" t="s">
        <v>1017</v>
      </c>
      <c r="N261" s="55" t="s">
        <v>22</v>
      </c>
      <c r="O261" s="55" t="s">
        <v>1018</v>
      </c>
      <c r="P261" s="55"/>
      <c r="Q261" s="55"/>
      <c r="R261" s="55" t="s">
        <v>35</v>
      </c>
      <c r="S261" s="55" t="s">
        <v>389</v>
      </c>
    </row>
    <row r="262" spans="1:19" ht="15" hidden="1" customHeight="1" x14ac:dyDescent="0.2">
      <c r="A262" s="52" t="s">
        <v>7</v>
      </c>
      <c r="B262" s="53" t="s">
        <v>897</v>
      </c>
      <c r="C262" s="53" t="s">
        <v>1019</v>
      </c>
      <c r="D262" s="53" t="str">
        <f t="shared" si="29"/>
        <v>Presidência</v>
      </c>
      <c r="E262" s="53" t="str">
        <f t="shared" si="30"/>
        <v>Oi Fibra</v>
      </c>
      <c r="F262" s="53" t="str">
        <f t="shared" si="31"/>
        <v>Canais de Venda e Atendimento</v>
      </c>
      <c r="G262" s="53" t="str">
        <f t="shared" si="32"/>
        <v>Regional Vendas RJ, MG e ES</v>
      </c>
      <c r="H262" s="53" t="str">
        <f t="shared" si="33"/>
        <v>RSE MG Capital e Metropolitana</v>
      </c>
      <c r="I262" s="53" t="str">
        <f t="shared" si="34"/>
        <v>RSE MG Capital e Metropolitana</v>
      </c>
      <c r="J262" s="53" t="str">
        <f t="shared" si="35"/>
        <v>RSE MG Capital e Metropolitana</v>
      </c>
      <c r="K262" s="55" t="s">
        <v>1020</v>
      </c>
      <c r="L262" s="55">
        <v>101238</v>
      </c>
      <c r="M262" s="44" t="s">
        <v>1021</v>
      </c>
      <c r="N262" s="55" t="s">
        <v>22</v>
      </c>
      <c r="O262" s="55" t="s">
        <v>1022</v>
      </c>
      <c r="P262" s="55"/>
      <c r="Q262" s="55"/>
      <c r="R262" s="55" t="s">
        <v>35</v>
      </c>
      <c r="S262" s="55" t="s">
        <v>389</v>
      </c>
    </row>
    <row r="263" spans="1:19" ht="15" hidden="1" customHeight="1" x14ac:dyDescent="0.2">
      <c r="A263" s="52" t="s">
        <v>7</v>
      </c>
      <c r="B263" s="53" t="s">
        <v>897</v>
      </c>
      <c r="C263" s="53" t="s">
        <v>1023</v>
      </c>
      <c r="D263" s="53" t="str">
        <f t="shared" si="29"/>
        <v>Presidência</v>
      </c>
      <c r="E263" s="53" t="str">
        <f t="shared" si="30"/>
        <v>Oi Fibra</v>
      </c>
      <c r="F263" s="53" t="str">
        <f t="shared" si="31"/>
        <v>Canais de Venda e Atendimento</v>
      </c>
      <c r="G263" s="53" t="str">
        <f t="shared" si="32"/>
        <v>Regional Vendas RJ, MG e ES</v>
      </c>
      <c r="H263" s="53" t="str">
        <f t="shared" si="33"/>
        <v>RSE ES, RJ DDD22 Norte Fluminense</v>
      </c>
      <c r="I263" s="53" t="str">
        <f t="shared" si="34"/>
        <v>RSE ES, RJ DDD22 Norte Fluminense</v>
      </c>
      <c r="J263" s="53" t="str">
        <f t="shared" si="35"/>
        <v>RSE ES, RJ DDD22 Norte Fluminense</v>
      </c>
      <c r="K263" s="55" t="s">
        <v>1024</v>
      </c>
      <c r="L263" s="55">
        <v>311732</v>
      </c>
      <c r="M263" s="44" t="s">
        <v>1025</v>
      </c>
      <c r="N263" s="55" t="s">
        <v>22</v>
      </c>
      <c r="O263" s="55" t="s">
        <v>1026</v>
      </c>
      <c r="P263" s="55"/>
      <c r="Q263" s="55"/>
      <c r="R263" s="55" t="s">
        <v>35</v>
      </c>
      <c r="S263" s="55" t="s">
        <v>389</v>
      </c>
    </row>
    <row r="264" spans="1:19" ht="15" hidden="1" customHeight="1" x14ac:dyDescent="0.2">
      <c r="A264" s="52" t="s">
        <v>7</v>
      </c>
      <c r="B264" s="53" t="s">
        <v>897</v>
      </c>
      <c r="C264" s="53" t="s">
        <v>1027</v>
      </c>
      <c r="D264" s="53" t="str">
        <f t="shared" si="29"/>
        <v>Presidência</v>
      </c>
      <c r="E264" s="53" t="str">
        <f t="shared" si="30"/>
        <v>Oi Fibra</v>
      </c>
      <c r="F264" s="53" t="str">
        <f t="shared" si="31"/>
        <v>Canais de Venda e Atendimento</v>
      </c>
      <c r="G264" s="53" t="str">
        <f t="shared" si="32"/>
        <v>Regional Vendas RJ, MG e ES</v>
      </c>
      <c r="H264" s="53" t="str">
        <f t="shared" si="33"/>
        <v>Trade RSE/RNN</v>
      </c>
      <c r="I264" s="53" t="str">
        <f t="shared" si="34"/>
        <v>Trade RSE/RNN</v>
      </c>
      <c r="J264" s="53" t="str">
        <f t="shared" si="35"/>
        <v>Trade RSE/RNN</v>
      </c>
      <c r="K264" s="55" t="s">
        <v>1028</v>
      </c>
      <c r="L264" s="55">
        <v>83833</v>
      </c>
      <c r="M264" s="44" t="s">
        <v>1029</v>
      </c>
      <c r="N264" s="55" t="s">
        <v>22</v>
      </c>
      <c r="O264" s="55" t="s">
        <v>1030</v>
      </c>
      <c r="P264" s="55"/>
      <c r="Q264" s="55"/>
      <c r="R264" s="55" t="s">
        <v>35</v>
      </c>
      <c r="S264" s="55" t="s">
        <v>389</v>
      </c>
    </row>
    <row r="265" spans="1:19" ht="15" hidden="1" customHeight="1" x14ac:dyDescent="0.2">
      <c r="A265" s="25" t="s">
        <v>6</v>
      </c>
      <c r="B265" s="26" t="s">
        <v>897</v>
      </c>
      <c r="C265" s="26" t="s">
        <v>1031</v>
      </c>
      <c r="D265" s="26" t="str">
        <f t="shared" si="29"/>
        <v>Presidência</v>
      </c>
      <c r="E265" s="26" t="str">
        <f t="shared" si="30"/>
        <v>Oi Fibra</v>
      </c>
      <c r="F265" s="26" t="str">
        <f t="shared" si="31"/>
        <v>Canais de Venda e Atendimento</v>
      </c>
      <c r="G265" s="26" t="str">
        <f t="shared" si="32"/>
        <v>Regional Vendas Centro Sul (RCS)</v>
      </c>
      <c r="H265" s="26" t="str">
        <f t="shared" si="33"/>
        <v>Regional Vendas Centro Sul (RCS)</v>
      </c>
      <c r="I265" s="26" t="str">
        <f t="shared" si="34"/>
        <v>Regional Vendas Centro Sul (RCS)</v>
      </c>
      <c r="J265" s="26" t="str">
        <f t="shared" si="35"/>
        <v>Regional Vendas Centro Sul (RCS)</v>
      </c>
      <c r="K265" s="28" t="s">
        <v>1032</v>
      </c>
      <c r="L265" s="28">
        <v>23158</v>
      </c>
      <c r="M265" s="29" t="s">
        <v>1033</v>
      </c>
      <c r="N265" s="28" t="s">
        <v>22</v>
      </c>
      <c r="O265" s="28" t="s">
        <v>1034</v>
      </c>
      <c r="P265" s="28"/>
      <c r="Q265" s="28"/>
      <c r="R265" s="28" t="s">
        <v>30</v>
      </c>
      <c r="S265" s="28" t="s">
        <v>389</v>
      </c>
    </row>
    <row r="266" spans="1:19" ht="15" hidden="1" customHeight="1" x14ac:dyDescent="0.2">
      <c r="A266" s="52" t="s">
        <v>7</v>
      </c>
      <c r="B266" s="53" t="s">
        <v>897</v>
      </c>
      <c r="C266" s="53" t="s">
        <v>1035</v>
      </c>
      <c r="D266" s="53" t="str">
        <f t="shared" si="29"/>
        <v>Presidência</v>
      </c>
      <c r="E266" s="53" t="str">
        <f t="shared" si="30"/>
        <v>Oi Fibra</v>
      </c>
      <c r="F266" s="53" t="str">
        <f t="shared" si="31"/>
        <v>Canais de Venda e Atendimento</v>
      </c>
      <c r="G266" s="53" t="str">
        <f t="shared" si="32"/>
        <v>Regional Vendas Centro Sul (RCS)</v>
      </c>
      <c r="H266" s="53" t="str">
        <f t="shared" si="33"/>
        <v>Planejamento e Performance de Canais (RCS)</v>
      </c>
      <c r="I266" s="53" t="str">
        <f t="shared" si="34"/>
        <v>Planejamento e Performance de Canais (RCS)</v>
      </c>
      <c r="J266" s="53" t="str">
        <f t="shared" si="35"/>
        <v>Planejamento e Performance de Canais (RCS)</v>
      </c>
      <c r="K266" s="55" t="s">
        <v>1036</v>
      </c>
      <c r="L266" s="55">
        <v>17670</v>
      </c>
      <c r="M266" s="44" t="s">
        <v>1037</v>
      </c>
      <c r="N266" s="55" t="s">
        <v>22</v>
      </c>
      <c r="O266" s="55" t="s">
        <v>1038</v>
      </c>
      <c r="P266" s="55"/>
      <c r="Q266" s="55"/>
      <c r="R266" s="55" t="s">
        <v>35</v>
      </c>
      <c r="S266" s="55" t="s">
        <v>389</v>
      </c>
    </row>
    <row r="267" spans="1:19" ht="15" hidden="1" customHeight="1" x14ac:dyDescent="0.2">
      <c r="A267" s="65" t="s">
        <v>1003</v>
      </c>
      <c r="B267" s="66" t="s">
        <v>897</v>
      </c>
      <c r="C267" s="66" t="s">
        <v>1039</v>
      </c>
      <c r="D267" s="66" t="str">
        <f t="shared" si="29"/>
        <v>Presidência</v>
      </c>
      <c r="E267" s="66" t="str">
        <f t="shared" si="30"/>
        <v>Oi Fibra</v>
      </c>
      <c r="F267" s="66" t="str">
        <f t="shared" si="31"/>
        <v>Canais de Venda e Atendimento</v>
      </c>
      <c r="G267" s="66" t="str">
        <f t="shared" si="32"/>
        <v>Regional Vendas Centro Sul (RCS)</v>
      </c>
      <c r="H267" s="66" t="str">
        <f t="shared" si="33"/>
        <v>Planejamento e Performance de Canais (RCS)</v>
      </c>
      <c r="I267" s="66" t="str">
        <f t="shared" si="34"/>
        <v>Planejamento e Performance de Canais (RCS)</v>
      </c>
      <c r="J267" s="66" t="str">
        <f t="shared" si="35"/>
        <v>Planejamento e Performance de Canais (RCS)</v>
      </c>
      <c r="K267" s="67" t="s">
        <v>1040</v>
      </c>
      <c r="L267" s="67"/>
      <c r="M267" s="68" t="s">
        <v>66</v>
      </c>
      <c r="N267" s="67" t="s">
        <v>22</v>
      </c>
      <c r="O267" s="67" t="s">
        <v>1041</v>
      </c>
      <c r="P267" s="67"/>
      <c r="Q267" s="67"/>
      <c r="R267" s="67" t="s">
        <v>35</v>
      </c>
      <c r="S267" s="67" t="s">
        <v>389</v>
      </c>
    </row>
    <row r="268" spans="1:19" ht="15" hidden="1" customHeight="1" x14ac:dyDescent="0.2">
      <c r="A268" s="52" t="s">
        <v>7</v>
      </c>
      <c r="B268" s="53" t="s">
        <v>897</v>
      </c>
      <c r="C268" s="53" t="s">
        <v>1042</v>
      </c>
      <c r="D268" s="53" t="str">
        <f t="shared" si="29"/>
        <v>Presidência</v>
      </c>
      <c r="E268" s="53" t="str">
        <f t="shared" si="30"/>
        <v>Oi Fibra</v>
      </c>
      <c r="F268" s="53" t="str">
        <f t="shared" si="31"/>
        <v>Canais de Venda e Atendimento</v>
      </c>
      <c r="G268" s="53" t="str">
        <f t="shared" si="32"/>
        <v>Regional Vendas Centro Sul (RCS)</v>
      </c>
      <c r="H268" s="53" t="str">
        <f t="shared" si="33"/>
        <v>RCS GO Capital e Interior</v>
      </c>
      <c r="I268" s="53" t="str">
        <f t="shared" si="34"/>
        <v>RCS GO Capital e Interior</v>
      </c>
      <c r="J268" s="53" t="str">
        <f t="shared" si="35"/>
        <v>RCS GO Capital e Interior</v>
      </c>
      <c r="K268" s="55" t="s">
        <v>1043</v>
      </c>
      <c r="L268" s="55">
        <v>75236</v>
      </c>
      <c r="M268" s="44" t="s">
        <v>1044</v>
      </c>
      <c r="N268" s="55" t="s">
        <v>22</v>
      </c>
      <c r="O268" s="55" t="s">
        <v>1045</v>
      </c>
      <c r="P268" s="55"/>
      <c r="Q268" s="55"/>
      <c r="R268" s="55" t="s">
        <v>35</v>
      </c>
      <c r="S268" s="55" t="s">
        <v>389</v>
      </c>
    </row>
    <row r="269" spans="1:19" ht="15" hidden="1" customHeight="1" x14ac:dyDescent="0.2">
      <c r="A269" s="52" t="s">
        <v>7</v>
      </c>
      <c r="B269" s="53" t="s">
        <v>897</v>
      </c>
      <c r="C269" s="53" t="s">
        <v>1046</v>
      </c>
      <c r="D269" s="53" t="str">
        <f t="shared" si="29"/>
        <v>Presidência</v>
      </c>
      <c r="E269" s="53" t="str">
        <f t="shared" si="30"/>
        <v>Oi Fibra</v>
      </c>
      <c r="F269" s="53" t="str">
        <f t="shared" si="31"/>
        <v>Canais de Venda e Atendimento</v>
      </c>
      <c r="G269" s="53" t="str">
        <f t="shared" si="32"/>
        <v>Regional Vendas Centro Sul (RCS)</v>
      </c>
      <c r="H269" s="53" t="str">
        <f t="shared" si="33"/>
        <v>RCS Teleagentes Nacional</v>
      </c>
      <c r="I269" s="53" t="str">
        <f t="shared" si="34"/>
        <v>RCS Teleagentes Nacional</v>
      </c>
      <c r="J269" s="53" t="str">
        <f t="shared" si="35"/>
        <v>RCS Teleagentes Nacional</v>
      </c>
      <c r="K269" s="55" t="s">
        <v>1047</v>
      </c>
      <c r="L269" s="55">
        <v>343535</v>
      </c>
      <c r="M269" s="44" t="s">
        <v>1048</v>
      </c>
      <c r="N269" s="55" t="s">
        <v>22</v>
      </c>
      <c r="O269" s="55" t="s">
        <v>1049</v>
      </c>
      <c r="P269" s="55"/>
      <c r="Q269" s="55"/>
      <c r="R269" s="55" t="s">
        <v>35</v>
      </c>
      <c r="S269" s="55" t="s">
        <v>389</v>
      </c>
    </row>
    <row r="270" spans="1:19" ht="15" hidden="1" customHeight="1" x14ac:dyDescent="0.2">
      <c r="A270" s="52" t="s">
        <v>7</v>
      </c>
      <c r="B270" s="53" t="s">
        <v>897</v>
      </c>
      <c r="C270" s="53" t="s">
        <v>1050</v>
      </c>
      <c r="D270" s="53" t="str">
        <f t="shared" si="29"/>
        <v>Presidência</v>
      </c>
      <c r="E270" s="53" t="str">
        <f t="shared" si="30"/>
        <v>Oi Fibra</v>
      </c>
      <c r="F270" s="53" t="str">
        <f t="shared" si="31"/>
        <v>Canais de Venda e Atendimento</v>
      </c>
      <c r="G270" s="53" t="str">
        <f t="shared" si="32"/>
        <v>Regional Vendas Centro Sul (RCS)</v>
      </c>
      <c r="H270" s="53" t="str">
        <f t="shared" si="33"/>
        <v>RCS DF/MT</v>
      </c>
      <c r="I270" s="53" t="str">
        <f t="shared" si="34"/>
        <v>RCS DF/MT</v>
      </c>
      <c r="J270" s="53" t="str">
        <f t="shared" si="35"/>
        <v>RCS DF/MT</v>
      </c>
      <c r="K270" s="55" t="s">
        <v>1051</v>
      </c>
      <c r="L270" s="55">
        <v>301822</v>
      </c>
      <c r="M270" s="44" t="s">
        <v>1052</v>
      </c>
      <c r="N270" s="55" t="s">
        <v>22</v>
      </c>
      <c r="O270" s="55" t="s">
        <v>1053</v>
      </c>
      <c r="P270" s="55"/>
      <c r="Q270" s="55"/>
      <c r="R270" s="55" t="s">
        <v>35</v>
      </c>
      <c r="S270" s="55" t="s">
        <v>389</v>
      </c>
    </row>
    <row r="271" spans="1:19" ht="15" hidden="1" customHeight="1" x14ac:dyDescent="0.2">
      <c r="A271" s="52" t="s">
        <v>7</v>
      </c>
      <c r="B271" s="53" t="s">
        <v>897</v>
      </c>
      <c r="C271" s="53" t="s">
        <v>1054</v>
      </c>
      <c r="D271" s="53" t="str">
        <f t="shared" si="29"/>
        <v>Presidência</v>
      </c>
      <c r="E271" s="53" t="str">
        <f t="shared" si="30"/>
        <v>Oi Fibra</v>
      </c>
      <c r="F271" s="53" t="str">
        <f t="shared" si="31"/>
        <v>Canais de Venda e Atendimento</v>
      </c>
      <c r="G271" s="53" t="str">
        <f t="shared" si="32"/>
        <v>Regional Vendas Centro Sul (RCS)</v>
      </c>
      <c r="H271" s="53" t="str">
        <f t="shared" si="33"/>
        <v>RCS MS/TO</v>
      </c>
      <c r="I271" s="53" t="str">
        <f t="shared" si="34"/>
        <v>RCS MS/TO</v>
      </c>
      <c r="J271" s="53" t="str">
        <f t="shared" si="35"/>
        <v>RCS MS/TO</v>
      </c>
      <c r="K271" s="55" t="s">
        <v>1055</v>
      </c>
      <c r="L271" s="55">
        <v>302661</v>
      </c>
      <c r="M271" s="44" t="s">
        <v>1056</v>
      </c>
      <c r="N271" s="55" t="s">
        <v>22</v>
      </c>
      <c r="O271" s="55" t="s">
        <v>1057</v>
      </c>
      <c r="P271" s="55"/>
      <c r="Q271" s="55"/>
      <c r="R271" s="55" t="s">
        <v>35</v>
      </c>
      <c r="S271" s="55" t="s">
        <v>389</v>
      </c>
    </row>
    <row r="272" spans="1:19" ht="15" hidden="1" customHeight="1" x14ac:dyDescent="0.2">
      <c r="A272" s="52" t="s">
        <v>7</v>
      </c>
      <c r="B272" s="53" t="s">
        <v>897</v>
      </c>
      <c r="C272" s="53" t="s">
        <v>1058</v>
      </c>
      <c r="D272" s="53" t="str">
        <f t="shared" si="29"/>
        <v>Presidência</v>
      </c>
      <c r="E272" s="53" t="str">
        <f t="shared" si="30"/>
        <v>Oi Fibra</v>
      </c>
      <c r="F272" s="53" t="str">
        <f t="shared" si="31"/>
        <v>Canais de Venda e Atendimento</v>
      </c>
      <c r="G272" s="53" t="str">
        <f t="shared" si="32"/>
        <v>Regional Vendas Centro Sul (RCS)</v>
      </c>
      <c r="H272" s="53" t="str">
        <f t="shared" si="33"/>
        <v>RCS RO/AC</v>
      </c>
      <c r="I272" s="53" t="str">
        <f t="shared" si="34"/>
        <v>RCS RO/AC</v>
      </c>
      <c r="J272" s="53" t="str">
        <f t="shared" si="35"/>
        <v>RCS RO/AC</v>
      </c>
      <c r="K272" s="55" t="s">
        <v>1059</v>
      </c>
      <c r="L272" s="55">
        <v>403555</v>
      </c>
      <c r="M272" s="34" t="s">
        <v>1060</v>
      </c>
      <c r="N272" s="55" t="s">
        <v>22</v>
      </c>
      <c r="O272" s="55" t="s">
        <v>1061</v>
      </c>
      <c r="P272" s="55"/>
      <c r="Q272" s="55"/>
      <c r="R272" s="55" t="s">
        <v>35</v>
      </c>
      <c r="S272" s="55" t="s">
        <v>389</v>
      </c>
    </row>
    <row r="273" spans="1:19" ht="15" hidden="1" customHeight="1" x14ac:dyDescent="0.2">
      <c r="A273" s="52" t="s">
        <v>7</v>
      </c>
      <c r="B273" s="53" t="s">
        <v>897</v>
      </c>
      <c r="C273" s="53" t="s">
        <v>1062</v>
      </c>
      <c r="D273" s="53" t="str">
        <f t="shared" si="29"/>
        <v>Presidência</v>
      </c>
      <c r="E273" s="53" t="str">
        <f t="shared" si="30"/>
        <v>Oi Fibra</v>
      </c>
      <c r="F273" s="53" t="str">
        <f t="shared" si="31"/>
        <v>Canais de Venda e Atendimento</v>
      </c>
      <c r="G273" s="53" t="str">
        <f t="shared" si="32"/>
        <v>Regional Vendas Centro Sul (RCS)</v>
      </c>
      <c r="H273" s="53" t="str">
        <f t="shared" si="33"/>
        <v>RCS PR Capital</v>
      </c>
      <c r="I273" s="53" t="str">
        <f t="shared" si="34"/>
        <v>RCS PR Capital</v>
      </c>
      <c r="J273" s="53" t="str">
        <f t="shared" si="35"/>
        <v>RCS PR Capital</v>
      </c>
      <c r="K273" s="55" t="s">
        <v>1063</v>
      </c>
      <c r="L273" s="55">
        <v>301008</v>
      </c>
      <c r="M273" s="44" t="s">
        <v>1064</v>
      </c>
      <c r="N273" s="55" t="s">
        <v>22</v>
      </c>
      <c r="O273" s="55" t="s">
        <v>1065</v>
      </c>
      <c r="P273" s="55"/>
      <c r="Q273" s="55"/>
      <c r="R273" s="55" t="s">
        <v>35</v>
      </c>
      <c r="S273" s="55" t="s">
        <v>389</v>
      </c>
    </row>
    <row r="274" spans="1:19" ht="15" hidden="1" customHeight="1" x14ac:dyDescent="0.2">
      <c r="A274" s="52" t="s">
        <v>7</v>
      </c>
      <c r="B274" s="53" t="s">
        <v>897</v>
      </c>
      <c r="C274" s="53" t="s">
        <v>1066</v>
      </c>
      <c r="D274" s="53" t="str">
        <f t="shared" si="29"/>
        <v>Presidência</v>
      </c>
      <c r="E274" s="53" t="str">
        <f t="shared" si="30"/>
        <v>Oi Fibra</v>
      </c>
      <c r="F274" s="53" t="str">
        <f t="shared" si="31"/>
        <v>Canais de Venda e Atendimento</v>
      </c>
      <c r="G274" s="53" t="str">
        <f t="shared" si="32"/>
        <v>Regional Vendas Centro Sul (RCS)</v>
      </c>
      <c r="H274" s="53" t="str">
        <f t="shared" si="33"/>
        <v>RCS PR Interior</v>
      </c>
      <c r="I274" s="53" t="str">
        <f t="shared" si="34"/>
        <v>RCS PR Interior</v>
      </c>
      <c r="J274" s="53" t="str">
        <f t="shared" si="35"/>
        <v>RCS PR Interior</v>
      </c>
      <c r="K274" s="55" t="s">
        <v>1067</v>
      </c>
      <c r="L274" s="55">
        <v>407350</v>
      </c>
      <c r="M274" s="44" t="s">
        <v>1068</v>
      </c>
      <c r="N274" s="55" t="s">
        <v>22</v>
      </c>
      <c r="O274" s="55" t="s">
        <v>1069</v>
      </c>
      <c r="P274" s="55"/>
      <c r="Q274" s="55"/>
      <c r="R274" s="55" t="s">
        <v>35</v>
      </c>
      <c r="S274" s="55" t="s">
        <v>389</v>
      </c>
    </row>
    <row r="275" spans="1:19" ht="15" hidden="1" customHeight="1" x14ac:dyDescent="0.2">
      <c r="A275" s="52" t="s">
        <v>7</v>
      </c>
      <c r="B275" s="53" t="s">
        <v>897</v>
      </c>
      <c r="C275" s="53" t="s">
        <v>1070</v>
      </c>
      <c r="D275" s="53" t="str">
        <f t="shared" si="29"/>
        <v>Presidência</v>
      </c>
      <c r="E275" s="53" t="str">
        <f t="shared" si="30"/>
        <v>Oi Fibra</v>
      </c>
      <c r="F275" s="53" t="str">
        <f t="shared" si="31"/>
        <v>Canais de Venda e Atendimento</v>
      </c>
      <c r="G275" s="53" t="str">
        <f t="shared" si="32"/>
        <v>Regional Vendas Centro Sul (RCS)</v>
      </c>
      <c r="H275" s="53" t="str">
        <f t="shared" si="33"/>
        <v>RCS RS Capital</v>
      </c>
      <c r="I275" s="53" t="str">
        <f t="shared" si="34"/>
        <v>RCS RS Capital</v>
      </c>
      <c r="J275" s="53" t="str">
        <f t="shared" si="35"/>
        <v>RCS RS Capital</v>
      </c>
      <c r="K275" s="55" t="s">
        <v>1071</v>
      </c>
      <c r="L275" s="55">
        <v>307500</v>
      </c>
      <c r="M275" s="44" t="s">
        <v>1072</v>
      </c>
      <c r="N275" s="55" t="s">
        <v>22</v>
      </c>
      <c r="O275" s="55" t="s">
        <v>1073</v>
      </c>
      <c r="P275" s="55"/>
      <c r="Q275" s="55"/>
      <c r="R275" s="55" t="s">
        <v>35</v>
      </c>
      <c r="S275" s="55" t="s">
        <v>389</v>
      </c>
    </row>
    <row r="276" spans="1:19" ht="15" hidden="1" customHeight="1" x14ac:dyDescent="0.2">
      <c r="A276" s="52" t="s">
        <v>7</v>
      </c>
      <c r="B276" s="53" t="s">
        <v>897</v>
      </c>
      <c r="C276" s="53" t="s">
        <v>1074</v>
      </c>
      <c r="D276" s="53" t="str">
        <f t="shared" si="29"/>
        <v>Presidência</v>
      </c>
      <c r="E276" s="53" t="str">
        <f t="shared" si="30"/>
        <v>Oi Fibra</v>
      </c>
      <c r="F276" s="53" t="str">
        <f t="shared" si="31"/>
        <v>Canais de Venda e Atendimento</v>
      </c>
      <c r="G276" s="53" t="str">
        <f t="shared" si="32"/>
        <v>Regional Vendas Centro Sul (RCS)</v>
      </c>
      <c r="H276" s="53" t="str">
        <f t="shared" si="33"/>
        <v>RCS RS Interior</v>
      </c>
      <c r="I276" s="53" t="str">
        <f t="shared" si="34"/>
        <v>RCS RS Interior</v>
      </c>
      <c r="J276" s="53" t="str">
        <f t="shared" si="35"/>
        <v>RCS RS Interior</v>
      </c>
      <c r="K276" s="55" t="s">
        <v>1075</v>
      </c>
      <c r="L276" s="55">
        <v>348007</v>
      </c>
      <c r="M276" s="44" t="s">
        <v>1076</v>
      </c>
      <c r="N276" s="55" t="s">
        <v>22</v>
      </c>
      <c r="O276" s="55" t="s">
        <v>1077</v>
      </c>
      <c r="P276" s="55"/>
      <c r="Q276" s="55"/>
      <c r="R276" s="55" t="s">
        <v>35</v>
      </c>
      <c r="S276" s="55" t="s">
        <v>389</v>
      </c>
    </row>
    <row r="277" spans="1:19" ht="15" hidden="1" customHeight="1" x14ac:dyDescent="0.2">
      <c r="A277" s="52" t="s">
        <v>7</v>
      </c>
      <c r="B277" s="53" t="s">
        <v>897</v>
      </c>
      <c r="C277" s="53" t="s">
        <v>1078</v>
      </c>
      <c r="D277" s="53" t="str">
        <f t="shared" si="29"/>
        <v>Presidência</v>
      </c>
      <c r="E277" s="53" t="str">
        <f t="shared" si="30"/>
        <v>Oi Fibra</v>
      </c>
      <c r="F277" s="53" t="str">
        <f t="shared" si="31"/>
        <v>Canais de Venda e Atendimento</v>
      </c>
      <c r="G277" s="53" t="str">
        <f t="shared" si="32"/>
        <v>Regional Vendas Centro Sul (RCS)</v>
      </c>
      <c r="H277" s="53" t="str">
        <f t="shared" si="33"/>
        <v>RCS SC</v>
      </c>
      <c r="I277" s="53" t="str">
        <f t="shared" si="34"/>
        <v>RCS SC</v>
      </c>
      <c r="J277" s="53" t="str">
        <f t="shared" si="35"/>
        <v>RCS SC</v>
      </c>
      <c r="K277" s="55" t="s">
        <v>1079</v>
      </c>
      <c r="L277" s="55">
        <v>301886</v>
      </c>
      <c r="M277" s="44" t="s">
        <v>1080</v>
      </c>
      <c r="N277" s="55" t="s">
        <v>22</v>
      </c>
      <c r="O277" s="55" t="s">
        <v>1081</v>
      </c>
      <c r="P277" s="55"/>
      <c r="Q277" s="55"/>
      <c r="R277" s="55" t="s">
        <v>35</v>
      </c>
      <c r="S277" s="55" t="s">
        <v>389</v>
      </c>
    </row>
    <row r="278" spans="1:19" ht="15" hidden="1" customHeight="1" x14ac:dyDescent="0.2">
      <c r="A278" s="52" t="s">
        <v>7</v>
      </c>
      <c r="B278" s="53" t="s">
        <v>897</v>
      </c>
      <c r="C278" s="53" t="s">
        <v>1082</v>
      </c>
      <c r="D278" s="53" t="str">
        <f t="shared" si="29"/>
        <v>Presidência</v>
      </c>
      <c r="E278" s="53" t="str">
        <f t="shared" si="30"/>
        <v>Oi Fibra</v>
      </c>
      <c r="F278" s="53" t="str">
        <f t="shared" si="31"/>
        <v>Canais de Venda e Atendimento</v>
      </c>
      <c r="G278" s="53" t="str">
        <f t="shared" si="32"/>
        <v>Regional Vendas Centro Sul (RCS)</v>
      </c>
      <c r="H278" s="53" t="str">
        <f t="shared" si="33"/>
        <v>Trade RCS</v>
      </c>
      <c r="I278" s="53" t="str">
        <f t="shared" si="34"/>
        <v>Trade RCS</v>
      </c>
      <c r="J278" s="53" t="str">
        <f t="shared" si="35"/>
        <v>Trade RCS</v>
      </c>
      <c r="K278" s="55" t="s">
        <v>1083</v>
      </c>
      <c r="L278" s="55">
        <v>85382</v>
      </c>
      <c r="M278" s="44" t="s">
        <v>1084</v>
      </c>
      <c r="N278" s="55" t="s">
        <v>22</v>
      </c>
      <c r="O278" s="55" t="s">
        <v>1085</v>
      </c>
      <c r="P278" s="55"/>
      <c r="Q278" s="55"/>
      <c r="R278" s="55" t="s">
        <v>35</v>
      </c>
      <c r="S278" s="55" t="s">
        <v>389</v>
      </c>
    </row>
    <row r="279" spans="1:19" ht="15" hidden="1" customHeight="1" x14ac:dyDescent="0.2">
      <c r="A279" s="25" t="s">
        <v>6</v>
      </c>
      <c r="B279" s="26" t="s">
        <v>897</v>
      </c>
      <c r="C279" s="26" t="s">
        <v>1086</v>
      </c>
      <c r="D279" s="26" t="str">
        <f t="shared" si="29"/>
        <v>Presidência</v>
      </c>
      <c r="E279" s="26" t="str">
        <f t="shared" si="30"/>
        <v>Oi Fibra</v>
      </c>
      <c r="F279" s="26" t="str">
        <f t="shared" si="31"/>
        <v>Canais de Venda e Atendimento</v>
      </c>
      <c r="G279" s="26" t="str">
        <f t="shared" si="32"/>
        <v>Regional Vendas Norte e Nordeste (RNN)</v>
      </c>
      <c r="H279" s="26" t="str">
        <f t="shared" si="33"/>
        <v>Regional Vendas Norte e Nordeste (RNN)</v>
      </c>
      <c r="I279" s="26" t="str">
        <f t="shared" si="34"/>
        <v>Regional Vendas Norte e Nordeste (RNN)</v>
      </c>
      <c r="J279" s="26" t="str">
        <f t="shared" si="35"/>
        <v>Regional Vendas Norte e Nordeste (RNN)</v>
      </c>
      <c r="K279" s="28" t="s">
        <v>1087</v>
      </c>
      <c r="L279" s="28">
        <v>17835</v>
      </c>
      <c r="M279" s="29" t="s">
        <v>1088</v>
      </c>
      <c r="N279" s="28" t="s">
        <v>22</v>
      </c>
      <c r="O279" s="28" t="s">
        <v>1089</v>
      </c>
      <c r="P279" s="28"/>
      <c r="Q279" s="28"/>
      <c r="R279" s="28" t="s">
        <v>30</v>
      </c>
      <c r="S279" s="28" t="s">
        <v>389</v>
      </c>
    </row>
    <row r="280" spans="1:19" ht="15" hidden="1" customHeight="1" x14ac:dyDescent="0.2">
      <c r="A280" s="52" t="s">
        <v>7</v>
      </c>
      <c r="B280" s="53" t="s">
        <v>897</v>
      </c>
      <c r="C280" s="53" t="s">
        <v>1090</v>
      </c>
      <c r="D280" s="53" t="str">
        <f t="shared" si="29"/>
        <v>Presidência</v>
      </c>
      <c r="E280" s="53" t="str">
        <f t="shared" si="30"/>
        <v>Oi Fibra</v>
      </c>
      <c r="F280" s="53" t="str">
        <f t="shared" si="31"/>
        <v>Canais de Venda e Atendimento</v>
      </c>
      <c r="G280" s="53" t="str">
        <f t="shared" si="32"/>
        <v>Regional Vendas Norte e Nordeste (RNN)</v>
      </c>
      <c r="H280" s="53" t="str">
        <f t="shared" si="33"/>
        <v>Planejamento e Performance de Canais (RNN)</v>
      </c>
      <c r="I280" s="53" t="str">
        <f t="shared" si="34"/>
        <v>Planejamento e Performance de Canais (RNN)</v>
      </c>
      <c r="J280" s="53" t="str">
        <f t="shared" si="35"/>
        <v>Planejamento e Performance de Canais (RNN)</v>
      </c>
      <c r="K280" s="55" t="s">
        <v>1091</v>
      </c>
      <c r="L280" s="55">
        <v>23272</v>
      </c>
      <c r="M280" s="44" t="s">
        <v>1092</v>
      </c>
      <c r="N280" s="55" t="s">
        <v>22</v>
      </c>
      <c r="O280" s="55" t="s">
        <v>1093</v>
      </c>
      <c r="P280" s="55"/>
      <c r="Q280" s="55"/>
      <c r="R280" s="55" t="s">
        <v>35</v>
      </c>
      <c r="S280" s="55" t="s">
        <v>389</v>
      </c>
    </row>
    <row r="281" spans="1:19" ht="15" hidden="1" customHeight="1" x14ac:dyDescent="0.2">
      <c r="A281" s="65" t="s">
        <v>1003</v>
      </c>
      <c r="B281" s="66" t="s">
        <v>897</v>
      </c>
      <c r="C281" s="66" t="s">
        <v>1094</v>
      </c>
      <c r="D281" s="66" t="str">
        <f t="shared" si="29"/>
        <v>Presidência</v>
      </c>
      <c r="E281" s="66" t="str">
        <f t="shared" si="30"/>
        <v>Oi Fibra</v>
      </c>
      <c r="F281" s="66" t="str">
        <f t="shared" si="31"/>
        <v>Canais de Venda e Atendimento</v>
      </c>
      <c r="G281" s="66" t="str">
        <f t="shared" si="32"/>
        <v>Regional Vendas Norte e Nordeste (RNN)</v>
      </c>
      <c r="H281" s="66" t="str">
        <f t="shared" si="33"/>
        <v>Planejamento e Performance de Canais (RNN)</v>
      </c>
      <c r="I281" s="66" t="str">
        <f t="shared" si="34"/>
        <v>Planejamento e Performance de Canais (RNN)</v>
      </c>
      <c r="J281" s="66" t="str">
        <f t="shared" si="35"/>
        <v>Planejamento e Performance de Canais (RNN)</v>
      </c>
      <c r="K281" s="67" t="s">
        <v>1095</v>
      </c>
      <c r="L281" s="67"/>
      <c r="M281" s="68" t="s">
        <v>66</v>
      </c>
      <c r="N281" s="67" t="s">
        <v>22</v>
      </c>
      <c r="O281" s="67" t="s">
        <v>1096</v>
      </c>
      <c r="P281" s="67"/>
      <c r="Q281" s="67"/>
      <c r="R281" s="67" t="s">
        <v>35</v>
      </c>
      <c r="S281" s="67" t="s">
        <v>389</v>
      </c>
    </row>
    <row r="282" spans="1:19" ht="15" hidden="1" customHeight="1" x14ac:dyDescent="0.2">
      <c r="A282" s="52" t="s">
        <v>7</v>
      </c>
      <c r="B282" s="53" t="s">
        <v>897</v>
      </c>
      <c r="C282" s="53" t="s">
        <v>1097</v>
      </c>
      <c r="D282" s="53" t="str">
        <f t="shared" si="29"/>
        <v>Presidência</v>
      </c>
      <c r="E282" s="53" t="str">
        <f t="shared" si="30"/>
        <v>Oi Fibra</v>
      </c>
      <c r="F282" s="53" t="str">
        <f t="shared" si="31"/>
        <v>Canais de Venda e Atendimento</v>
      </c>
      <c r="G282" s="53" t="str">
        <f t="shared" si="32"/>
        <v>Regional Vendas Norte e Nordeste (RNN)</v>
      </c>
      <c r="H282" s="53" t="str">
        <f t="shared" si="33"/>
        <v>RNN PI/MA</v>
      </c>
      <c r="I282" s="53" t="str">
        <f t="shared" si="34"/>
        <v>RNN PI/MA</v>
      </c>
      <c r="J282" s="53" t="str">
        <f t="shared" si="35"/>
        <v>RNN PI/MA</v>
      </c>
      <c r="K282" s="55" t="s">
        <v>1098</v>
      </c>
      <c r="L282" s="55">
        <v>418093</v>
      </c>
      <c r="M282" s="44" t="s">
        <v>1099</v>
      </c>
      <c r="N282" s="55" t="s">
        <v>22</v>
      </c>
      <c r="O282" s="55" t="s">
        <v>1100</v>
      </c>
      <c r="P282" s="55"/>
      <c r="Q282" s="55"/>
      <c r="R282" s="55" t="s">
        <v>35</v>
      </c>
      <c r="S282" s="55" t="s">
        <v>389</v>
      </c>
    </row>
    <row r="283" spans="1:19" ht="15" hidden="1" customHeight="1" x14ac:dyDescent="0.2">
      <c r="A283" s="52" t="s">
        <v>7</v>
      </c>
      <c r="B283" s="53" t="s">
        <v>897</v>
      </c>
      <c r="C283" s="53" t="s">
        <v>1101</v>
      </c>
      <c r="D283" s="53" t="str">
        <f t="shared" si="29"/>
        <v>Presidência</v>
      </c>
      <c r="E283" s="53" t="str">
        <f t="shared" si="30"/>
        <v>Oi Fibra</v>
      </c>
      <c r="F283" s="53" t="str">
        <f t="shared" si="31"/>
        <v>Canais de Venda e Atendimento</v>
      </c>
      <c r="G283" s="53" t="str">
        <f t="shared" si="32"/>
        <v>Regional Vendas Norte e Nordeste (RNN)</v>
      </c>
      <c r="H283" s="53" t="str">
        <f t="shared" si="33"/>
        <v>RNN SE/AL/PE/PB</v>
      </c>
      <c r="I283" s="53" t="str">
        <f t="shared" si="34"/>
        <v>RNN SE/AL/PE/PB</v>
      </c>
      <c r="J283" s="53" t="str">
        <f t="shared" si="35"/>
        <v>RNN SE/AL/PE/PB</v>
      </c>
      <c r="K283" s="55" t="s">
        <v>1102</v>
      </c>
      <c r="L283" s="55">
        <v>418774</v>
      </c>
      <c r="M283" s="44" t="s">
        <v>1103</v>
      </c>
      <c r="N283" s="55" t="s">
        <v>22</v>
      </c>
      <c r="O283" s="55" t="s">
        <v>1104</v>
      </c>
      <c r="P283" s="55"/>
      <c r="Q283" s="55"/>
      <c r="R283" s="55" t="s">
        <v>35</v>
      </c>
      <c r="S283" s="55" t="s">
        <v>389</v>
      </c>
    </row>
    <row r="284" spans="1:19" ht="15" hidden="1" customHeight="1" x14ac:dyDescent="0.2">
      <c r="A284" s="52" t="s">
        <v>7</v>
      </c>
      <c r="B284" s="53" t="s">
        <v>897</v>
      </c>
      <c r="C284" s="53" t="s">
        <v>1105</v>
      </c>
      <c r="D284" s="53" t="str">
        <f t="shared" si="29"/>
        <v>Presidência</v>
      </c>
      <c r="E284" s="53" t="str">
        <f t="shared" si="30"/>
        <v>Oi Fibra</v>
      </c>
      <c r="F284" s="53" t="str">
        <f t="shared" si="31"/>
        <v>Canais de Venda e Atendimento</v>
      </c>
      <c r="G284" s="53" t="str">
        <f t="shared" si="32"/>
        <v>Regional Vendas Norte e Nordeste (RNN)</v>
      </c>
      <c r="H284" s="53" t="str">
        <f t="shared" si="33"/>
        <v>RNN RN/CE</v>
      </c>
      <c r="I284" s="53" t="str">
        <f t="shared" si="34"/>
        <v>RNN RN/CE</v>
      </c>
      <c r="J284" s="53" t="str">
        <f t="shared" si="35"/>
        <v>RNN RN/CE</v>
      </c>
      <c r="K284" s="55" t="s">
        <v>1106</v>
      </c>
      <c r="L284" s="55">
        <v>62061</v>
      </c>
      <c r="M284" s="44" t="s">
        <v>1107</v>
      </c>
      <c r="N284" s="55" t="s">
        <v>22</v>
      </c>
      <c r="O284" s="55" t="s">
        <v>1108</v>
      </c>
      <c r="P284" s="55"/>
      <c r="Q284" s="55"/>
      <c r="R284" s="55" t="s">
        <v>35</v>
      </c>
      <c r="S284" s="55" t="s">
        <v>389</v>
      </c>
    </row>
    <row r="285" spans="1:19" ht="15" hidden="1" customHeight="1" x14ac:dyDescent="0.2">
      <c r="A285" s="52" t="s">
        <v>7</v>
      </c>
      <c r="B285" s="53" t="s">
        <v>897</v>
      </c>
      <c r="C285" s="53" t="s">
        <v>1109</v>
      </c>
      <c r="D285" s="53" t="str">
        <f t="shared" si="29"/>
        <v>Presidência</v>
      </c>
      <c r="E285" s="53" t="str">
        <f t="shared" si="30"/>
        <v>Oi Fibra</v>
      </c>
      <c r="F285" s="53" t="str">
        <f t="shared" si="31"/>
        <v>Canais de Venda e Atendimento</v>
      </c>
      <c r="G285" s="53" t="str">
        <f t="shared" si="32"/>
        <v>Regional Vendas Norte e Nordeste (RNN)</v>
      </c>
      <c r="H285" s="53" t="str">
        <f t="shared" si="33"/>
        <v>PAP GTE BA INTERIOR</v>
      </c>
      <c r="I285" s="53" t="str">
        <f t="shared" si="34"/>
        <v>PAP GTE BA INTERIOR</v>
      </c>
      <c r="J285" s="53" t="str">
        <f t="shared" si="35"/>
        <v>PAP GTE BA INTERIOR</v>
      </c>
      <c r="K285" s="55" t="s">
        <v>1110</v>
      </c>
      <c r="L285" s="55">
        <v>324506</v>
      </c>
      <c r="M285" s="44" t="s">
        <v>1111</v>
      </c>
      <c r="N285" s="55" t="s">
        <v>22</v>
      </c>
      <c r="O285" s="55" t="s">
        <v>1112</v>
      </c>
      <c r="P285" s="55"/>
      <c r="Q285" s="55"/>
      <c r="R285" s="55" t="s">
        <v>35</v>
      </c>
      <c r="S285" s="55" t="s">
        <v>389</v>
      </c>
    </row>
    <row r="286" spans="1:19" ht="15" hidden="1" customHeight="1" x14ac:dyDescent="0.2">
      <c r="A286" s="52" t="s">
        <v>7</v>
      </c>
      <c r="B286" s="53" t="s">
        <v>897</v>
      </c>
      <c r="C286" s="53" t="s">
        <v>1113</v>
      </c>
      <c r="D286" s="53" t="str">
        <f t="shared" si="29"/>
        <v>Presidência</v>
      </c>
      <c r="E286" s="53" t="str">
        <f t="shared" si="30"/>
        <v>Oi Fibra</v>
      </c>
      <c r="F286" s="53" t="str">
        <f t="shared" si="31"/>
        <v>Canais de Venda e Atendimento</v>
      </c>
      <c r="G286" s="53" t="str">
        <f t="shared" si="32"/>
        <v>Regional Vendas Norte e Nordeste (RNN)</v>
      </c>
      <c r="H286" s="53" t="str">
        <f t="shared" si="33"/>
        <v>RNN BA CAPITAL</v>
      </c>
      <c r="I286" s="53" t="str">
        <f t="shared" si="34"/>
        <v>RNN BA CAPITAL</v>
      </c>
      <c r="J286" s="53" t="str">
        <f t="shared" si="35"/>
        <v>RNN BA CAPITAL</v>
      </c>
      <c r="K286" s="55" t="s">
        <v>1114</v>
      </c>
      <c r="L286" s="55"/>
      <c r="M286" s="64" t="s">
        <v>66</v>
      </c>
      <c r="N286" s="55" t="s">
        <v>22</v>
      </c>
      <c r="O286" s="55" t="s">
        <v>1115</v>
      </c>
      <c r="P286" s="55"/>
      <c r="Q286" s="55"/>
      <c r="R286" s="55" t="s">
        <v>35</v>
      </c>
      <c r="S286" s="55" t="s">
        <v>389</v>
      </c>
    </row>
    <row r="287" spans="1:19" ht="15" hidden="1" customHeight="1" x14ac:dyDescent="0.2">
      <c r="A287" s="52" t="s">
        <v>7</v>
      </c>
      <c r="B287" s="53" t="s">
        <v>897</v>
      </c>
      <c r="C287" s="53" t="s">
        <v>1116</v>
      </c>
      <c r="D287" s="53" t="str">
        <f t="shared" si="29"/>
        <v>Presidência</v>
      </c>
      <c r="E287" s="53" t="str">
        <f t="shared" si="30"/>
        <v>Oi Fibra</v>
      </c>
      <c r="F287" s="53" t="str">
        <f t="shared" si="31"/>
        <v>Canais de Venda e Atendimento</v>
      </c>
      <c r="G287" s="53" t="str">
        <f t="shared" si="32"/>
        <v>Regional Vendas Norte e Nordeste (RNN)</v>
      </c>
      <c r="H287" s="53" t="str">
        <f t="shared" si="33"/>
        <v>RNN AM/RR</v>
      </c>
      <c r="I287" s="53" t="str">
        <f t="shared" si="34"/>
        <v>RNN AM/RR</v>
      </c>
      <c r="J287" s="53" t="str">
        <f t="shared" si="35"/>
        <v>RNN AM/RR</v>
      </c>
      <c r="K287" s="55" t="s">
        <v>1117</v>
      </c>
      <c r="L287" s="55">
        <v>406092</v>
      </c>
      <c r="M287" s="69" t="s">
        <v>1118</v>
      </c>
      <c r="N287" s="55" t="s">
        <v>22</v>
      </c>
      <c r="O287" s="55" t="s">
        <v>1119</v>
      </c>
      <c r="P287" s="55"/>
      <c r="Q287" s="55"/>
      <c r="R287" s="55" t="s">
        <v>35</v>
      </c>
      <c r="S287" s="55" t="s">
        <v>389</v>
      </c>
    </row>
    <row r="288" spans="1:19" ht="15" hidden="1" customHeight="1" x14ac:dyDescent="0.2">
      <c r="A288" s="52" t="s">
        <v>7</v>
      </c>
      <c r="B288" s="53" t="s">
        <v>897</v>
      </c>
      <c r="C288" s="53" t="s">
        <v>1120</v>
      </c>
      <c r="D288" s="53" t="str">
        <f t="shared" si="29"/>
        <v>Presidência</v>
      </c>
      <c r="E288" s="53" t="str">
        <f t="shared" si="30"/>
        <v>Oi Fibra</v>
      </c>
      <c r="F288" s="53" t="str">
        <f t="shared" si="31"/>
        <v>Canais de Venda e Atendimento</v>
      </c>
      <c r="G288" s="53" t="str">
        <f t="shared" si="32"/>
        <v>Regional Vendas Norte e Nordeste (RNN)</v>
      </c>
      <c r="H288" s="53" t="str">
        <f t="shared" si="33"/>
        <v>RNN PA</v>
      </c>
      <c r="I288" s="53" t="str">
        <f t="shared" si="34"/>
        <v>RNN PA</v>
      </c>
      <c r="J288" s="53" t="str">
        <f t="shared" si="35"/>
        <v>RNN PA</v>
      </c>
      <c r="K288" s="55" t="s">
        <v>1121</v>
      </c>
      <c r="L288" s="55">
        <v>394009</v>
      </c>
      <c r="M288" s="44" t="s">
        <v>1122</v>
      </c>
      <c r="N288" s="55" t="s">
        <v>22</v>
      </c>
      <c r="O288" s="55" t="s">
        <v>1123</v>
      </c>
      <c r="P288" s="55"/>
      <c r="Q288" s="55"/>
      <c r="R288" s="55" t="s">
        <v>35</v>
      </c>
      <c r="S288" s="55" t="s">
        <v>389</v>
      </c>
    </row>
    <row r="289" spans="1:19" ht="15" hidden="1" customHeight="1" x14ac:dyDescent="0.2">
      <c r="A289" s="14" t="s">
        <v>5</v>
      </c>
      <c r="B289" s="15" t="s">
        <v>897</v>
      </c>
      <c r="C289" s="15" t="s">
        <v>1124</v>
      </c>
      <c r="D289" s="15" t="str">
        <f t="shared" si="29"/>
        <v>Presidência</v>
      </c>
      <c r="E289" s="15" t="str">
        <f t="shared" si="30"/>
        <v>Oi Fibra</v>
      </c>
      <c r="F289" s="15" t="str">
        <f t="shared" si="31"/>
        <v>Comunicação &amp; Marca</v>
      </c>
      <c r="G289" s="15" t="str">
        <f t="shared" si="32"/>
        <v>Comunicação &amp; Marca</v>
      </c>
      <c r="H289" s="15" t="str">
        <f t="shared" si="33"/>
        <v>Comunicação &amp; Marca</v>
      </c>
      <c r="I289" s="15" t="str">
        <f t="shared" si="34"/>
        <v>Comunicação &amp; Marca</v>
      </c>
      <c r="J289" s="15" t="str">
        <f t="shared" si="35"/>
        <v>Comunicação &amp; Marca</v>
      </c>
      <c r="K289" s="17" t="s">
        <v>1125</v>
      </c>
      <c r="L289" s="17">
        <v>92176</v>
      </c>
      <c r="M289" s="18" t="s">
        <v>1126</v>
      </c>
      <c r="N289" s="17" t="s">
        <v>22</v>
      </c>
      <c r="O289" s="17" t="s">
        <v>1127</v>
      </c>
      <c r="P289" s="17"/>
      <c r="Q289" s="17"/>
      <c r="R289" s="17" t="s">
        <v>30</v>
      </c>
      <c r="S289" s="17" t="s">
        <v>389</v>
      </c>
    </row>
    <row r="290" spans="1:19" ht="15" hidden="1" customHeight="1" x14ac:dyDescent="0.2">
      <c r="A290" s="25" t="s">
        <v>6</v>
      </c>
      <c r="B290" s="26" t="s">
        <v>897</v>
      </c>
      <c r="C290" s="26" t="s">
        <v>1128</v>
      </c>
      <c r="D290" s="26" t="str">
        <f t="shared" si="29"/>
        <v>Presidência</v>
      </c>
      <c r="E290" s="26" t="str">
        <f t="shared" si="30"/>
        <v>Oi Fibra</v>
      </c>
      <c r="F290" s="26" t="str">
        <f t="shared" si="31"/>
        <v>Comunicação &amp; Marca</v>
      </c>
      <c r="G290" s="26" t="str">
        <f t="shared" si="32"/>
        <v>Mídia e Estratégia de Marca</v>
      </c>
      <c r="H290" s="26" t="str">
        <f t="shared" si="33"/>
        <v>Mídia e Estratégia de Marca</v>
      </c>
      <c r="I290" s="26" t="str">
        <f t="shared" si="34"/>
        <v>Mídia e Estratégia de Marca</v>
      </c>
      <c r="J290" s="26" t="str">
        <f t="shared" si="35"/>
        <v>Mídia e Estratégia de Marca</v>
      </c>
      <c r="K290" s="28" t="s">
        <v>1129</v>
      </c>
      <c r="L290" s="28">
        <v>235249</v>
      </c>
      <c r="M290" s="29" t="s">
        <v>1130</v>
      </c>
      <c r="N290" s="28" t="s">
        <v>22</v>
      </c>
      <c r="O290" s="28" t="s">
        <v>1131</v>
      </c>
      <c r="P290" s="28"/>
      <c r="Q290" s="28"/>
      <c r="R290" s="28" t="s">
        <v>35</v>
      </c>
      <c r="S290" s="28" t="s">
        <v>389</v>
      </c>
    </row>
    <row r="291" spans="1:19" ht="15" hidden="1" customHeight="1" x14ac:dyDescent="0.2">
      <c r="A291" s="25" t="s">
        <v>6</v>
      </c>
      <c r="B291" s="26" t="s">
        <v>897</v>
      </c>
      <c r="C291" s="26" t="s">
        <v>1132</v>
      </c>
      <c r="D291" s="26" t="str">
        <f t="shared" si="29"/>
        <v>Presidência</v>
      </c>
      <c r="E291" s="26" t="str">
        <f t="shared" si="30"/>
        <v>Oi Fibra</v>
      </c>
      <c r="F291" s="26" t="str">
        <f t="shared" si="31"/>
        <v>Comunicação &amp; Marca</v>
      </c>
      <c r="G291" s="26" t="str">
        <f t="shared" si="32"/>
        <v>Conteúdo e Experiências Digitais</v>
      </c>
      <c r="H291" s="26" t="str">
        <f t="shared" si="33"/>
        <v>Conteúdo e Experiências Digitais</v>
      </c>
      <c r="I291" s="26" t="str">
        <f t="shared" si="34"/>
        <v>Conteúdo e Experiências Digitais</v>
      </c>
      <c r="J291" s="26" t="str">
        <f t="shared" si="35"/>
        <v>Conteúdo e Experiências Digitais</v>
      </c>
      <c r="K291" s="28" t="s">
        <v>1133</v>
      </c>
      <c r="L291" s="28">
        <v>320624</v>
      </c>
      <c r="M291" s="29" t="s">
        <v>1134</v>
      </c>
      <c r="N291" s="28" t="s">
        <v>22</v>
      </c>
      <c r="O291" s="28" t="s">
        <v>1135</v>
      </c>
      <c r="P291" s="28"/>
      <c r="Q291" s="28"/>
      <c r="R291" s="28" t="s">
        <v>35</v>
      </c>
      <c r="S291" s="28" t="s">
        <v>389</v>
      </c>
    </row>
    <row r="292" spans="1:19" ht="15" hidden="1" customHeight="1" x14ac:dyDescent="0.2">
      <c r="A292" s="25" t="s">
        <v>6</v>
      </c>
      <c r="B292" s="26" t="s">
        <v>897</v>
      </c>
      <c r="C292" s="26" t="s">
        <v>1136</v>
      </c>
      <c r="D292" s="26" t="str">
        <f t="shared" si="29"/>
        <v>Presidência</v>
      </c>
      <c r="E292" s="26" t="str">
        <f t="shared" si="30"/>
        <v>Oi Fibra</v>
      </c>
      <c r="F292" s="26" t="str">
        <f t="shared" si="31"/>
        <v>Comunicação &amp; Marca</v>
      </c>
      <c r="G292" s="26" t="str">
        <f t="shared" si="32"/>
        <v>Comunicação</v>
      </c>
      <c r="H292" s="26" t="str">
        <f t="shared" si="33"/>
        <v>Comunicação</v>
      </c>
      <c r="I292" s="26" t="str">
        <f t="shared" si="34"/>
        <v>Comunicação</v>
      </c>
      <c r="J292" s="26" t="str">
        <f t="shared" si="35"/>
        <v>Comunicação</v>
      </c>
      <c r="K292" s="28" t="s">
        <v>1137</v>
      </c>
      <c r="L292" s="28">
        <v>321496</v>
      </c>
      <c r="M292" s="29" t="s">
        <v>1138</v>
      </c>
      <c r="N292" s="28" t="s">
        <v>22</v>
      </c>
      <c r="O292" s="28" t="s">
        <v>1139</v>
      </c>
      <c r="P292" s="28"/>
      <c r="Q292" s="28"/>
      <c r="R292" s="28" t="s">
        <v>35</v>
      </c>
      <c r="S292" s="28" t="s">
        <v>389</v>
      </c>
    </row>
    <row r="293" spans="1:19" ht="15" hidden="1" customHeight="1" x14ac:dyDescent="0.2">
      <c r="A293" s="25" t="s">
        <v>6</v>
      </c>
      <c r="B293" s="26" t="s">
        <v>897</v>
      </c>
      <c r="C293" s="26" t="s">
        <v>1140</v>
      </c>
      <c r="D293" s="26" t="str">
        <f t="shared" si="29"/>
        <v>Presidência</v>
      </c>
      <c r="E293" s="26" t="str">
        <f t="shared" si="30"/>
        <v>Oi Fibra</v>
      </c>
      <c r="F293" s="26" t="str">
        <f t="shared" si="31"/>
        <v>Comunicação &amp; Marca</v>
      </c>
      <c r="G293" s="26" t="str">
        <f t="shared" si="32"/>
        <v>TradeMaketing</v>
      </c>
      <c r="H293" s="26" t="str">
        <f t="shared" si="33"/>
        <v>TradeMaketing</v>
      </c>
      <c r="I293" s="26" t="str">
        <f t="shared" si="34"/>
        <v>TradeMaketing</v>
      </c>
      <c r="J293" s="26" t="str">
        <f t="shared" si="35"/>
        <v>TradeMaketing</v>
      </c>
      <c r="K293" s="28" t="s">
        <v>1141</v>
      </c>
      <c r="L293" s="28">
        <v>322958</v>
      </c>
      <c r="M293" s="29" t="s">
        <v>1142</v>
      </c>
      <c r="N293" s="28" t="s">
        <v>22</v>
      </c>
      <c r="O293" s="28" t="s">
        <v>1143</v>
      </c>
      <c r="P293" s="28"/>
      <c r="Q293" s="28"/>
      <c r="R293" s="28" t="s">
        <v>35</v>
      </c>
      <c r="S293" s="28" t="s">
        <v>389</v>
      </c>
    </row>
    <row r="294" spans="1:19" ht="15" hidden="1" customHeight="1" x14ac:dyDescent="0.2">
      <c r="A294" s="14" t="s">
        <v>5</v>
      </c>
      <c r="B294" s="15" t="s">
        <v>897</v>
      </c>
      <c r="C294" s="15" t="s">
        <v>1144</v>
      </c>
      <c r="D294" s="15" t="str">
        <f t="shared" si="29"/>
        <v>Presidência</v>
      </c>
      <c r="E294" s="15" t="str">
        <f t="shared" si="30"/>
        <v>Oi Fibra</v>
      </c>
      <c r="F294" s="15" t="str">
        <f t="shared" si="31"/>
        <v>Planejamento Inteligência e Desempenho Oi Fibra</v>
      </c>
      <c r="G294" s="15" t="str">
        <f t="shared" si="32"/>
        <v>Planejamento Inteligência e Desempenho Oi Fibra</v>
      </c>
      <c r="H294" s="15" t="str">
        <f t="shared" si="33"/>
        <v>Planejamento Inteligência e Desempenho Oi Fibra</v>
      </c>
      <c r="I294" s="15" t="str">
        <f t="shared" si="34"/>
        <v>Planejamento Inteligência e Desempenho Oi Fibra</v>
      </c>
      <c r="J294" s="15" t="str">
        <f t="shared" si="35"/>
        <v>Planejamento Inteligência e Desempenho Oi Fibra</v>
      </c>
      <c r="K294" s="17" t="s">
        <v>1145</v>
      </c>
      <c r="L294" s="17">
        <v>106689</v>
      </c>
      <c r="M294" s="18" t="s">
        <v>1146</v>
      </c>
      <c r="N294" s="17" t="s">
        <v>22</v>
      </c>
      <c r="O294" s="17" t="s">
        <v>1147</v>
      </c>
      <c r="P294" s="17"/>
      <c r="Q294" s="17"/>
      <c r="R294" s="17" t="s">
        <v>30</v>
      </c>
      <c r="S294" s="17" t="s">
        <v>389</v>
      </c>
    </row>
    <row r="295" spans="1:19" ht="15" hidden="1" customHeight="1" x14ac:dyDescent="0.2">
      <c r="A295" s="19" t="s">
        <v>6</v>
      </c>
      <c r="B295" s="20" t="s">
        <v>897</v>
      </c>
      <c r="C295" s="72" t="s">
        <v>1148</v>
      </c>
      <c r="D295" s="72" t="str">
        <f t="shared" si="29"/>
        <v>Presidência</v>
      </c>
      <c r="E295" s="72" t="str">
        <f t="shared" si="30"/>
        <v>Oi Fibra</v>
      </c>
      <c r="F295" s="72" t="str">
        <f t="shared" si="31"/>
        <v>Planejamento Inteligência e Desempenho Oi Fibra</v>
      </c>
      <c r="G295" s="72" t="str">
        <f t="shared" si="32"/>
        <v>Planejamento de Demandas Oi Fibra</v>
      </c>
      <c r="H295" s="72" t="str">
        <f t="shared" si="33"/>
        <v>Planejamento de Demandas Oi Fibra</v>
      </c>
      <c r="I295" s="72" t="str">
        <f t="shared" si="34"/>
        <v>Planejamento de Demandas Oi Fibra</v>
      </c>
      <c r="J295" s="72" t="str">
        <f t="shared" si="35"/>
        <v>Planejamento de Demandas Oi Fibra</v>
      </c>
      <c r="K295" s="22" t="s">
        <v>1149</v>
      </c>
      <c r="L295" s="22">
        <v>348823</v>
      </c>
      <c r="M295" s="23" t="s">
        <v>1150</v>
      </c>
      <c r="N295" s="56" t="s">
        <v>22</v>
      </c>
      <c r="O295" s="56" t="s">
        <v>1151</v>
      </c>
      <c r="P295" s="56"/>
      <c r="Q295" s="56"/>
      <c r="R295" s="22" t="s">
        <v>35</v>
      </c>
      <c r="S295" s="22" t="s">
        <v>389</v>
      </c>
    </row>
    <row r="296" spans="1:19" ht="15" hidden="1" customHeight="1" x14ac:dyDescent="0.2">
      <c r="A296" s="25" t="s">
        <v>6</v>
      </c>
      <c r="B296" s="26" t="s">
        <v>897</v>
      </c>
      <c r="C296" s="26" t="s">
        <v>1152</v>
      </c>
      <c r="D296" s="26" t="str">
        <f t="shared" si="29"/>
        <v>Presidência</v>
      </c>
      <c r="E296" s="26" t="str">
        <f t="shared" si="30"/>
        <v>Oi Fibra</v>
      </c>
      <c r="F296" s="26" t="str">
        <f t="shared" si="31"/>
        <v>Planejamento Inteligência e Desempenho Oi Fibra</v>
      </c>
      <c r="G296" s="26" t="str">
        <f t="shared" si="32"/>
        <v>Planejamento Comercial Oi Fibra</v>
      </c>
      <c r="H296" s="26" t="str">
        <f t="shared" si="33"/>
        <v>Planejamento Comercial Oi Fibra</v>
      </c>
      <c r="I296" s="26" t="str">
        <f t="shared" si="34"/>
        <v>Planejamento Comercial Oi Fibra</v>
      </c>
      <c r="J296" s="26" t="str">
        <f t="shared" si="35"/>
        <v>Planejamento Comercial Oi Fibra</v>
      </c>
      <c r="K296" s="22" t="s">
        <v>1153</v>
      </c>
      <c r="L296" s="70">
        <v>303605</v>
      </c>
      <c r="M296" s="71" t="s">
        <v>1154</v>
      </c>
      <c r="N296" s="56" t="s">
        <v>22</v>
      </c>
      <c r="O296" s="56" t="s">
        <v>1155</v>
      </c>
      <c r="P296" s="56"/>
      <c r="Q296" s="56"/>
      <c r="R296" s="28" t="s">
        <v>30</v>
      </c>
      <c r="S296" s="28" t="s">
        <v>389</v>
      </c>
    </row>
    <row r="297" spans="1:19" ht="15" hidden="1" customHeight="1" x14ac:dyDescent="0.2">
      <c r="A297" s="52" t="s">
        <v>7</v>
      </c>
      <c r="B297" s="53" t="s">
        <v>897</v>
      </c>
      <c r="C297" s="53" t="s">
        <v>1156</v>
      </c>
      <c r="D297" s="53" t="str">
        <f t="shared" si="29"/>
        <v>Presidência</v>
      </c>
      <c r="E297" s="53" t="str">
        <f t="shared" si="30"/>
        <v>Oi Fibra</v>
      </c>
      <c r="F297" s="53" t="str">
        <f t="shared" si="31"/>
        <v>Planejamento Inteligência e Desempenho Oi Fibra</v>
      </c>
      <c r="G297" s="53" t="str">
        <f t="shared" si="32"/>
        <v>Planejamento Comercial Oi Fibra</v>
      </c>
      <c r="H297" s="53" t="str">
        <f t="shared" si="33"/>
        <v>Planejamento de Vendas</v>
      </c>
      <c r="I297" s="53" t="str">
        <f t="shared" si="34"/>
        <v>Planejamento de Vendas</v>
      </c>
      <c r="J297" s="53" t="str">
        <f t="shared" si="35"/>
        <v>Planejamento de Vendas</v>
      </c>
      <c r="K297" s="55" t="s">
        <v>1157</v>
      </c>
      <c r="L297" s="55">
        <v>306250</v>
      </c>
      <c r="M297" s="44" t="s">
        <v>1158</v>
      </c>
      <c r="N297" s="55" t="s">
        <v>22</v>
      </c>
      <c r="O297" s="55" t="s">
        <v>1155</v>
      </c>
      <c r="P297" s="55"/>
      <c r="Q297" s="55"/>
      <c r="R297" s="55" t="s">
        <v>35</v>
      </c>
      <c r="S297" s="55" t="s">
        <v>389</v>
      </c>
    </row>
    <row r="298" spans="1:19" ht="15" hidden="1" customHeight="1" x14ac:dyDescent="0.2">
      <c r="A298" s="52" t="s">
        <v>7</v>
      </c>
      <c r="B298" s="53" t="s">
        <v>897</v>
      </c>
      <c r="C298" s="53" t="s">
        <v>1159</v>
      </c>
      <c r="D298" s="53" t="str">
        <f t="shared" si="29"/>
        <v>Presidência</v>
      </c>
      <c r="E298" s="53" t="str">
        <f t="shared" si="30"/>
        <v>Oi Fibra</v>
      </c>
      <c r="F298" s="53" t="str">
        <f t="shared" si="31"/>
        <v>Planejamento Inteligência e Desempenho Oi Fibra</v>
      </c>
      <c r="G298" s="53" t="str">
        <f t="shared" si="32"/>
        <v>Planejamento Comercial Oi Fibra</v>
      </c>
      <c r="H298" s="53" t="str">
        <f t="shared" si="33"/>
        <v>Gestão da Cadeia e CRV</v>
      </c>
      <c r="I298" s="53" t="str">
        <f t="shared" si="34"/>
        <v>Gestão da Cadeia e CRV</v>
      </c>
      <c r="J298" s="53" t="str">
        <f t="shared" si="35"/>
        <v>Gestão da Cadeia e CRV</v>
      </c>
      <c r="K298" s="55" t="s">
        <v>1160</v>
      </c>
      <c r="L298" s="55">
        <v>97073</v>
      </c>
      <c r="M298" s="44" t="s">
        <v>1161</v>
      </c>
      <c r="N298" s="55" t="s">
        <v>22</v>
      </c>
      <c r="O298" s="55" t="s">
        <v>1155</v>
      </c>
      <c r="P298" s="55"/>
      <c r="Q298" s="55"/>
      <c r="R298" s="55" t="s">
        <v>35</v>
      </c>
      <c r="S298" s="55" t="s">
        <v>389</v>
      </c>
    </row>
    <row r="299" spans="1:19" ht="15" hidden="1" customHeight="1" x14ac:dyDescent="0.2">
      <c r="A299" s="25" t="s">
        <v>6</v>
      </c>
      <c r="B299" s="26" t="s">
        <v>897</v>
      </c>
      <c r="C299" s="26" t="s">
        <v>1162</v>
      </c>
      <c r="D299" s="26" t="str">
        <f t="shared" si="29"/>
        <v>Presidência</v>
      </c>
      <c r="E299" s="26" t="str">
        <f t="shared" si="30"/>
        <v>Oi Fibra</v>
      </c>
      <c r="F299" s="26" t="str">
        <f t="shared" si="31"/>
        <v>Planejamento Inteligência e Desempenho Oi Fibra</v>
      </c>
      <c r="G299" s="26" t="str">
        <f t="shared" si="32"/>
        <v>Planejamento de Despesa Oi Fibra</v>
      </c>
      <c r="H299" s="26" t="str">
        <f t="shared" si="33"/>
        <v>Planejamento de Despesa Oi Fibra</v>
      </c>
      <c r="I299" s="26" t="str">
        <f t="shared" si="34"/>
        <v>Planejamento de Despesa Oi Fibra</v>
      </c>
      <c r="J299" s="26" t="str">
        <f t="shared" si="35"/>
        <v>Planejamento de Despesa Oi Fibra</v>
      </c>
      <c r="K299" s="22" t="s">
        <v>1163</v>
      </c>
      <c r="L299" s="70">
        <v>41731</v>
      </c>
      <c r="M299" s="71" t="s">
        <v>1164</v>
      </c>
      <c r="N299" s="56" t="s">
        <v>22</v>
      </c>
      <c r="O299" s="56" t="s">
        <v>1165</v>
      </c>
      <c r="P299" s="56"/>
      <c r="Q299" s="56"/>
      <c r="R299" s="28" t="s">
        <v>35</v>
      </c>
      <c r="S299" s="28" t="s">
        <v>389</v>
      </c>
    </row>
    <row r="300" spans="1:19" ht="15" hidden="1" customHeight="1" x14ac:dyDescent="0.2">
      <c r="A300" s="25" t="s">
        <v>6</v>
      </c>
      <c r="B300" s="26" t="s">
        <v>897</v>
      </c>
      <c r="C300" s="26" t="s">
        <v>1166</v>
      </c>
      <c r="D300" s="26" t="str">
        <f t="shared" si="29"/>
        <v>Presidência</v>
      </c>
      <c r="E300" s="26" t="str">
        <f t="shared" si="30"/>
        <v>Oi Fibra</v>
      </c>
      <c r="F300" s="26" t="str">
        <f t="shared" si="31"/>
        <v>Planejamento Inteligência e Desempenho Oi Fibra</v>
      </c>
      <c r="G300" s="26" t="str">
        <f t="shared" si="32"/>
        <v>Planejamento de Receita e Desempenho Oi Fibra</v>
      </c>
      <c r="H300" s="26" t="str">
        <f t="shared" si="33"/>
        <v>Planejamento de Receita e Desempenho Oi Fibra</v>
      </c>
      <c r="I300" s="26" t="str">
        <f t="shared" si="34"/>
        <v>Planejamento de Receita e Desempenho Oi Fibra</v>
      </c>
      <c r="J300" s="26" t="str">
        <f t="shared" si="35"/>
        <v>Planejamento de Receita e Desempenho Oi Fibra</v>
      </c>
      <c r="K300" s="22" t="s">
        <v>1167</v>
      </c>
      <c r="L300" s="70">
        <v>272931</v>
      </c>
      <c r="M300" s="71" t="s">
        <v>1168</v>
      </c>
      <c r="N300" s="56" t="s">
        <v>22</v>
      </c>
      <c r="O300" s="56" t="s">
        <v>1169</v>
      </c>
      <c r="P300" s="56"/>
      <c r="Q300" s="56"/>
      <c r="R300" s="28" t="s">
        <v>35</v>
      </c>
      <c r="S300" s="28" t="s">
        <v>389</v>
      </c>
    </row>
    <row r="301" spans="1:19" ht="15" hidden="1" customHeight="1" x14ac:dyDescent="0.2">
      <c r="A301" s="14" t="s">
        <v>5</v>
      </c>
      <c r="B301" s="15" t="s">
        <v>897</v>
      </c>
      <c r="C301" s="15" t="s">
        <v>1170</v>
      </c>
      <c r="D301" s="15" t="str">
        <f t="shared" si="29"/>
        <v>Presidência</v>
      </c>
      <c r="E301" s="15" t="str">
        <f t="shared" si="30"/>
        <v>Oi Fibra</v>
      </c>
      <c r="F301" s="15" t="str">
        <f t="shared" si="31"/>
        <v>Gestão de Valor, Exp. do Cliente e Transf. Ágil</v>
      </c>
      <c r="G301" s="15" t="str">
        <f t="shared" si="32"/>
        <v>Gestão de Valor, Exp. do Cliente e Transf. Ágil</v>
      </c>
      <c r="H301" s="15" t="str">
        <f t="shared" si="33"/>
        <v>Gestão de Valor, Exp. do Cliente e Transf. Ágil</v>
      </c>
      <c r="I301" s="15" t="str">
        <f t="shared" si="34"/>
        <v>Gestão de Valor, Exp. do Cliente e Transf. Ágil</v>
      </c>
      <c r="J301" s="15" t="str">
        <f t="shared" si="35"/>
        <v>Gestão de Valor, Exp. do Cliente e Transf. Ágil</v>
      </c>
      <c r="K301" s="17" t="s">
        <v>1171</v>
      </c>
      <c r="L301" s="17">
        <v>302529</v>
      </c>
      <c r="M301" s="18" t="s">
        <v>1172</v>
      </c>
      <c r="N301" s="17" t="s">
        <v>381</v>
      </c>
      <c r="O301" s="17" t="s">
        <v>1173</v>
      </c>
      <c r="P301" s="17"/>
      <c r="Q301" s="17" t="s">
        <v>1174</v>
      </c>
      <c r="R301" s="17" t="s">
        <v>30</v>
      </c>
      <c r="S301" s="17" t="s">
        <v>389</v>
      </c>
    </row>
    <row r="302" spans="1:19" ht="15" hidden="1" customHeight="1" x14ac:dyDescent="0.2">
      <c r="A302" s="19" t="s">
        <v>6</v>
      </c>
      <c r="B302" s="20" t="s">
        <v>897</v>
      </c>
      <c r="C302" s="26" t="s">
        <v>1175</v>
      </c>
      <c r="D302" s="26" t="str">
        <f t="shared" si="29"/>
        <v>Presidência</v>
      </c>
      <c r="E302" s="26" t="str">
        <f t="shared" si="30"/>
        <v>Oi Fibra</v>
      </c>
      <c r="F302" s="26" t="str">
        <f t="shared" si="31"/>
        <v>Gestão de Valor, Exp. do Cliente e Transf. Ágil</v>
      </c>
      <c r="G302" s="26" t="str">
        <f t="shared" si="32"/>
        <v>Experiência do Cliente e Agilidade</v>
      </c>
      <c r="H302" s="26" t="str">
        <f t="shared" si="33"/>
        <v>Experiência do Cliente e Agilidade</v>
      </c>
      <c r="I302" s="26" t="str">
        <f t="shared" si="34"/>
        <v>Experiência do Cliente e Agilidade</v>
      </c>
      <c r="J302" s="26" t="str">
        <f t="shared" si="35"/>
        <v>Experiência do Cliente e Agilidade</v>
      </c>
      <c r="K302" s="28" t="s">
        <v>1176</v>
      </c>
      <c r="L302" s="28">
        <v>311784</v>
      </c>
      <c r="M302" s="29" t="s">
        <v>1177</v>
      </c>
      <c r="N302" s="28" t="s">
        <v>381</v>
      </c>
      <c r="O302" s="28" t="s">
        <v>1178</v>
      </c>
      <c r="P302" s="28"/>
      <c r="Q302" s="28" t="s">
        <v>1174</v>
      </c>
      <c r="R302" s="28" t="s">
        <v>35</v>
      </c>
      <c r="S302" s="28" t="s">
        <v>389</v>
      </c>
    </row>
    <row r="303" spans="1:19" ht="15" hidden="1" customHeight="1" x14ac:dyDescent="0.2">
      <c r="A303" s="19" t="s">
        <v>6</v>
      </c>
      <c r="B303" s="20" t="s">
        <v>897</v>
      </c>
      <c r="C303" s="26" t="s">
        <v>1179</v>
      </c>
      <c r="D303" s="26" t="str">
        <f t="shared" si="29"/>
        <v>Presidência</v>
      </c>
      <c r="E303" s="26" t="str">
        <f t="shared" si="30"/>
        <v>Oi Fibra</v>
      </c>
      <c r="F303" s="26" t="str">
        <f t="shared" si="31"/>
        <v>Gestão de Valor, Exp. do Cliente e Transf. Ágil</v>
      </c>
      <c r="G303" s="26" t="str">
        <f t="shared" si="32"/>
        <v>Gestão de Portfólio e Métricas de Valor</v>
      </c>
      <c r="H303" s="26" t="str">
        <f t="shared" si="33"/>
        <v>Gestão de Portfólio e Métricas de Valor</v>
      </c>
      <c r="I303" s="26" t="str">
        <f t="shared" si="34"/>
        <v>Gestão de Portfólio e Métricas de Valor</v>
      </c>
      <c r="J303" s="26" t="str">
        <f t="shared" si="35"/>
        <v>Gestão de Portfólio e Métricas de Valor</v>
      </c>
      <c r="K303" s="28" t="s">
        <v>1180</v>
      </c>
      <c r="L303" s="28">
        <v>74028</v>
      </c>
      <c r="M303" s="29" t="s">
        <v>1181</v>
      </c>
      <c r="N303" s="28" t="s">
        <v>22</v>
      </c>
      <c r="O303" s="28" t="s">
        <v>1182</v>
      </c>
      <c r="P303" s="28"/>
      <c r="Q303" s="28"/>
      <c r="R303" s="28" t="s">
        <v>35</v>
      </c>
      <c r="S303" s="28" t="s">
        <v>389</v>
      </c>
    </row>
    <row r="304" spans="1:19" ht="15" hidden="1" customHeight="1" x14ac:dyDescent="0.2">
      <c r="A304" s="14" t="s">
        <v>5</v>
      </c>
      <c r="B304" s="15" t="s">
        <v>897</v>
      </c>
      <c r="C304" s="15" t="s">
        <v>1183</v>
      </c>
      <c r="D304" s="15" t="str">
        <f t="shared" si="29"/>
        <v>Presidência</v>
      </c>
      <c r="E304" s="15" t="str">
        <f t="shared" si="30"/>
        <v>Oi Fibra</v>
      </c>
      <c r="F304" s="15" t="str">
        <f t="shared" si="31"/>
        <v>Relacionamento com Clientes</v>
      </c>
      <c r="G304" s="15" t="str">
        <f t="shared" si="32"/>
        <v>Relacionamento com Clientes</v>
      </c>
      <c r="H304" s="15" t="str">
        <f t="shared" si="33"/>
        <v>Relacionamento com Clientes</v>
      </c>
      <c r="I304" s="15" t="str">
        <f t="shared" si="34"/>
        <v>Relacionamento com Clientes</v>
      </c>
      <c r="J304" s="15" t="str">
        <f t="shared" si="35"/>
        <v>Relacionamento com Clientes</v>
      </c>
      <c r="K304" s="17" t="s">
        <v>1184</v>
      </c>
      <c r="L304" s="17">
        <v>82515</v>
      </c>
      <c r="M304" s="18" t="s">
        <v>1185</v>
      </c>
      <c r="N304" s="17" t="s">
        <v>22</v>
      </c>
      <c r="O304" s="17" t="s">
        <v>1186</v>
      </c>
      <c r="P304" s="17"/>
      <c r="Q304" s="17"/>
      <c r="R304" s="17" t="s">
        <v>30</v>
      </c>
      <c r="S304" s="17" t="s">
        <v>389</v>
      </c>
    </row>
    <row r="305" spans="1:19" ht="15" hidden="1" customHeight="1" x14ac:dyDescent="0.2">
      <c r="A305" s="19" t="s">
        <v>6</v>
      </c>
      <c r="B305" s="20" t="s">
        <v>897</v>
      </c>
      <c r="C305" s="26" t="s">
        <v>1187</v>
      </c>
      <c r="D305" s="26" t="str">
        <f t="shared" si="29"/>
        <v>Presidência</v>
      </c>
      <c r="E305" s="26" t="str">
        <f t="shared" si="30"/>
        <v>Oi Fibra</v>
      </c>
      <c r="F305" s="26" t="str">
        <f t="shared" si="31"/>
        <v>Relacionamento com Clientes</v>
      </c>
      <c r="G305" s="26" t="str">
        <f t="shared" si="32"/>
        <v>Qualidade e Estruturação dos Canais de Relac.</v>
      </c>
      <c r="H305" s="26" t="str">
        <f t="shared" si="33"/>
        <v>Qualidade e Estruturação dos Canais de Relac.</v>
      </c>
      <c r="I305" s="26" t="str">
        <f t="shared" si="34"/>
        <v>Qualidade e Estruturação dos Canais de Relac.</v>
      </c>
      <c r="J305" s="26" t="str">
        <f t="shared" si="35"/>
        <v>Qualidade e Estruturação dos Canais de Relac.</v>
      </c>
      <c r="K305" s="28" t="s">
        <v>1188</v>
      </c>
      <c r="L305" s="28">
        <v>311995</v>
      </c>
      <c r="M305" s="29" t="s">
        <v>1189</v>
      </c>
      <c r="N305" s="28" t="s">
        <v>22</v>
      </c>
      <c r="O305" s="28" t="s">
        <v>1190</v>
      </c>
      <c r="P305" s="28"/>
      <c r="Q305" s="28"/>
      <c r="R305" s="28" t="s">
        <v>35</v>
      </c>
      <c r="S305" s="28" t="s">
        <v>389</v>
      </c>
    </row>
    <row r="306" spans="1:19" ht="15" hidden="1" customHeight="1" x14ac:dyDescent="0.2">
      <c r="A306" s="19" t="s">
        <v>6</v>
      </c>
      <c r="B306" s="20" t="s">
        <v>897</v>
      </c>
      <c r="C306" s="26" t="s">
        <v>1191</v>
      </c>
      <c r="D306" s="26" t="str">
        <f t="shared" si="29"/>
        <v>Presidência</v>
      </c>
      <c r="E306" s="26" t="str">
        <f t="shared" si="30"/>
        <v>Oi Fibra</v>
      </c>
      <c r="F306" s="26" t="str">
        <f t="shared" si="31"/>
        <v>Relacionamento com Clientes</v>
      </c>
      <c r="G306" s="26" t="str">
        <f t="shared" si="32"/>
        <v>URA e Automações</v>
      </c>
      <c r="H306" s="26" t="str">
        <f t="shared" si="33"/>
        <v>URA e Automações</v>
      </c>
      <c r="I306" s="26" t="str">
        <f t="shared" si="34"/>
        <v>URA e Automações</v>
      </c>
      <c r="J306" s="26" t="str">
        <f t="shared" si="35"/>
        <v>URA e Automações</v>
      </c>
      <c r="K306" s="28" t="s">
        <v>1192</v>
      </c>
      <c r="L306" s="28">
        <v>35783</v>
      </c>
      <c r="M306" s="29" t="s">
        <v>1193</v>
      </c>
      <c r="N306" s="28" t="s">
        <v>22</v>
      </c>
      <c r="O306" s="28" t="s">
        <v>1194</v>
      </c>
      <c r="P306" s="28"/>
      <c r="Q306" s="28"/>
      <c r="R306" s="28" t="s">
        <v>35</v>
      </c>
      <c r="S306" s="28" t="s">
        <v>389</v>
      </c>
    </row>
    <row r="307" spans="1:19" ht="15" hidden="1" customHeight="1" x14ac:dyDescent="0.2">
      <c r="A307" s="19" t="s">
        <v>6</v>
      </c>
      <c r="B307" s="20" t="s">
        <v>897</v>
      </c>
      <c r="C307" s="26" t="s">
        <v>1195</v>
      </c>
      <c r="D307" s="26" t="str">
        <f t="shared" si="29"/>
        <v>Presidência</v>
      </c>
      <c r="E307" s="26" t="str">
        <f t="shared" si="30"/>
        <v>Oi Fibra</v>
      </c>
      <c r="F307" s="26" t="str">
        <f t="shared" si="31"/>
        <v>Relacionamento com Clientes</v>
      </c>
      <c r="G307" s="26" t="str">
        <f t="shared" si="32"/>
        <v>E-Care</v>
      </c>
      <c r="H307" s="26" t="str">
        <f t="shared" si="33"/>
        <v>E-Care</v>
      </c>
      <c r="I307" s="26" t="str">
        <f t="shared" si="34"/>
        <v>E-Care</v>
      </c>
      <c r="J307" s="26" t="str">
        <f t="shared" si="35"/>
        <v>E-Care</v>
      </c>
      <c r="K307" s="28" t="s">
        <v>1196</v>
      </c>
      <c r="L307" s="28">
        <v>348901</v>
      </c>
      <c r="M307" s="29" t="s">
        <v>1197</v>
      </c>
      <c r="N307" s="28" t="s">
        <v>22</v>
      </c>
      <c r="O307" s="28" t="s">
        <v>1198</v>
      </c>
      <c r="P307" s="28"/>
      <c r="Q307" s="28"/>
      <c r="R307" s="28" t="s">
        <v>35</v>
      </c>
      <c r="S307" s="28" t="s">
        <v>389</v>
      </c>
    </row>
    <row r="308" spans="1:19" ht="15" hidden="1" customHeight="1" x14ac:dyDescent="0.2">
      <c r="A308" s="19" t="s">
        <v>6</v>
      </c>
      <c r="B308" s="20" t="s">
        <v>897</v>
      </c>
      <c r="C308" s="26" t="s">
        <v>1199</v>
      </c>
      <c r="D308" s="26" t="str">
        <f t="shared" si="29"/>
        <v>Presidência</v>
      </c>
      <c r="E308" s="26" t="str">
        <f t="shared" si="30"/>
        <v>Oi Fibra</v>
      </c>
      <c r="F308" s="26" t="str">
        <f t="shared" si="31"/>
        <v>Relacionamento com Clientes</v>
      </c>
      <c r="G308" s="26" t="str">
        <f t="shared" si="32"/>
        <v>Gestão do Tráfego</v>
      </c>
      <c r="H308" s="26" t="str">
        <f t="shared" si="33"/>
        <v>Gestão do Tráfego</v>
      </c>
      <c r="I308" s="26" t="str">
        <f t="shared" si="34"/>
        <v>Gestão do Tráfego</v>
      </c>
      <c r="J308" s="26" t="str">
        <f t="shared" si="35"/>
        <v>Gestão do Tráfego</v>
      </c>
      <c r="K308" s="28" t="s">
        <v>1200</v>
      </c>
      <c r="L308" s="28">
        <v>81316</v>
      </c>
      <c r="M308" s="29" t="s">
        <v>1201</v>
      </c>
      <c r="N308" s="28" t="s">
        <v>22</v>
      </c>
      <c r="O308" s="28" t="s">
        <v>1202</v>
      </c>
      <c r="P308" s="28"/>
      <c r="Q308" s="28"/>
      <c r="R308" s="28" t="s">
        <v>35</v>
      </c>
      <c r="S308" s="28" t="s">
        <v>389</v>
      </c>
    </row>
    <row r="309" spans="1:19" ht="15" hidden="1" customHeight="1" x14ac:dyDescent="0.2">
      <c r="A309" s="19" t="s">
        <v>6</v>
      </c>
      <c r="B309" s="20" t="s">
        <v>897</v>
      </c>
      <c r="C309" s="26" t="s">
        <v>1203</v>
      </c>
      <c r="D309" s="26" t="str">
        <f t="shared" si="29"/>
        <v>Presidência</v>
      </c>
      <c r="E309" s="26" t="str">
        <f t="shared" si="30"/>
        <v>Oi Fibra</v>
      </c>
      <c r="F309" s="26" t="str">
        <f t="shared" si="31"/>
        <v>Relacionamento com Clientes</v>
      </c>
      <c r="G309" s="26" t="str">
        <f t="shared" si="32"/>
        <v>Atendimento Varejo</v>
      </c>
      <c r="H309" s="26" t="str">
        <f t="shared" si="33"/>
        <v>Atendimento Varejo</v>
      </c>
      <c r="I309" s="26" t="str">
        <f t="shared" si="34"/>
        <v>Atendimento Varejo</v>
      </c>
      <c r="J309" s="26" t="str">
        <f t="shared" si="35"/>
        <v>Atendimento Varejo</v>
      </c>
      <c r="K309" s="28" t="s">
        <v>1204</v>
      </c>
      <c r="L309" s="28">
        <v>307698</v>
      </c>
      <c r="M309" s="29" t="s">
        <v>1205</v>
      </c>
      <c r="N309" s="28" t="s">
        <v>22</v>
      </c>
      <c r="O309" s="28" t="s">
        <v>1206</v>
      </c>
      <c r="P309" s="28"/>
      <c r="Q309" s="28"/>
      <c r="R309" s="28" t="s">
        <v>35</v>
      </c>
      <c r="S309" s="28" t="s">
        <v>389</v>
      </c>
    </row>
    <row r="310" spans="1:19" ht="15" hidden="1" customHeight="1" x14ac:dyDescent="0.2">
      <c r="A310" s="19" t="s">
        <v>6</v>
      </c>
      <c r="B310" s="20" t="s">
        <v>897</v>
      </c>
      <c r="C310" s="26" t="s">
        <v>1207</v>
      </c>
      <c r="D310" s="26" t="str">
        <f t="shared" si="29"/>
        <v>Presidência</v>
      </c>
      <c r="E310" s="26" t="str">
        <f t="shared" si="30"/>
        <v>Oi Fibra</v>
      </c>
      <c r="F310" s="26" t="str">
        <f t="shared" si="31"/>
        <v>Relacionamento com Clientes</v>
      </c>
      <c r="G310" s="26" t="str">
        <f t="shared" si="32"/>
        <v>Atendimento e Retenção Empresarial</v>
      </c>
      <c r="H310" s="26" t="str">
        <f t="shared" si="33"/>
        <v>Atendimento e Retenção Empresarial</v>
      </c>
      <c r="I310" s="26" t="str">
        <f t="shared" si="34"/>
        <v>Atendimento e Retenção Empresarial</v>
      </c>
      <c r="J310" s="26" t="str">
        <f t="shared" si="35"/>
        <v>Atendimento e Retenção Empresarial</v>
      </c>
      <c r="K310" s="28" t="s">
        <v>1208</v>
      </c>
      <c r="L310" s="28">
        <v>343256</v>
      </c>
      <c r="M310" s="29" t="s">
        <v>1209</v>
      </c>
      <c r="N310" s="28" t="s">
        <v>22</v>
      </c>
      <c r="O310" s="28" t="s">
        <v>1210</v>
      </c>
      <c r="P310" s="28"/>
      <c r="Q310" s="28"/>
      <c r="R310" s="28" t="s">
        <v>35</v>
      </c>
      <c r="S310" s="28" t="s">
        <v>389</v>
      </c>
    </row>
    <row r="311" spans="1:19" ht="15" hidden="1" customHeight="1" x14ac:dyDescent="0.2">
      <c r="A311" s="19" t="s">
        <v>6</v>
      </c>
      <c r="B311" s="20" t="s">
        <v>897</v>
      </c>
      <c r="C311" s="26" t="s">
        <v>1211</v>
      </c>
      <c r="D311" s="26" t="str">
        <f t="shared" si="29"/>
        <v>Presidência</v>
      </c>
      <c r="E311" s="26" t="str">
        <f t="shared" si="30"/>
        <v>Oi Fibra</v>
      </c>
      <c r="F311" s="26" t="str">
        <f t="shared" si="31"/>
        <v>Relacionamento com Clientes</v>
      </c>
      <c r="G311" s="26" t="str">
        <f t="shared" si="32"/>
        <v>Retenção Varejo</v>
      </c>
      <c r="H311" s="26" t="str">
        <f t="shared" si="33"/>
        <v>Retenção Varejo</v>
      </c>
      <c r="I311" s="26" t="str">
        <f t="shared" si="34"/>
        <v>Retenção Varejo</v>
      </c>
      <c r="J311" s="26" t="str">
        <f t="shared" si="35"/>
        <v>Retenção Varejo</v>
      </c>
      <c r="K311" s="28" t="s">
        <v>1212</v>
      </c>
      <c r="L311" s="28">
        <v>25173</v>
      </c>
      <c r="M311" s="29" t="s">
        <v>1213</v>
      </c>
      <c r="N311" s="28" t="s">
        <v>22</v>
      </c>
      <c r="O311" s="28" t="s">
        <v>1214</v>
      </c>
      <c r="P311" s="28"/>
      <c r="Q311" s="28"/>
      <c r="R311" s="28" t="s">
        <v>35</v>
      </c>
      <c r="S311" s="28" t="s">
        <v>389</v>
      </c>
    </row>
    <row r="312" spans="1:19" ht="15" customHeight="1" x14ac:dyDescent="0.2">
      <c r="A312" s="59" t="s">
        <v>4</v>
      </c>
      <c r="B312" s="10" t="s">
        <v>1215</v>
      </c>
      <c r="C312" s="10" t="s">
        <v>1215</v>
      </c>
      <c r="D312" s="10" t="str">
        <f t="shared" si="29"/>
        <v>Presidência</v>
      </c>
      <c r="E312" s="10" t="str">
        <f t="shared" si="30"/>
        <v>Estratégia e Transformação</v>
      </c>
      <c r="F312" s="10" t="str">
        <f t="shared" si="31"/>
        <v>Estratégia e Transformação</v>
      </c>
      <c r="G312" s="10" t="str">
        <f t="shared" si="32"/>
        <v>Estratégia e Transformação</v>
      </c>
      <c r="H312" s="10" t="str">
        <f t="shared" si="33"/>
        <v>Estratégia e Transformação</v>
      </c>
      <c r="I312" s="10" t="str">
        <f t="shared" si="34"/>
        <v>Estratégia e Transformação</v>
      </c>
      <c r="J312" s="10" t="str">
        <f t="shared" si="35"/>
        <v>Estratégia e Transformação</v>
      </c>
      <c r="K312" s="62" t="s">
        <v>1216</v>
      </c>
      <c r="L312" s="62">
        <v>406255</v>
      </c>
      <c r="M312" s="13" t="s">
        <v>1217</v>
      </c>
      <c r="N312" s="12" t="s">
        <v>22</v>
      </c>
      <c r="O312" s="12" t="s">
        <v>1218</v>
      </c>
      <c r="P312" s="12"/>
      <c r="Q312" s="12"/>
      <c r="R312" s="12" t="s">
        <v>30</v>
      </c>
      <c r="S312" s="12" t="s">
        <v>124</v>
      </c>
    </row>
    <row r="313" spans="1:19" ht="15" hidden="1" customHeight="1" x14ac:dyDescent="0.2">
      <c r="A313" s="14" t="s">
        <v>5</v>
      </c>
      <c r="B313" s="15" t="s">
        <v>1215</v>
      </c>
      <c r="C313" s="15" t="s">
        <v>1219</v>
      </c>
      <c r="D313" s="16" t="str">
        <f t="shared" si="29"/>
        <v>Presidência</v>
      </c>
      <c r="E313" s="16" t="str">
        <f t="shared" si="30"/>
        <v>Estratégia e Transformação</v>
      </c>
      <c r="F313" s="16" t="str">
        <f t="shared" si="31"/>
        <v>M&amp;A e Negócios Internacionais</v>
      </c>
      <c r="G313" s="16" t="str">
        <f t="shared" si="32"/>
        <v>M&amp;A e Negócios Internacionais</v>
      </c>
      <c r="H313" s="16" t="str">
        <f t="shared" si="33"/>
        <v>M&amp;A e Negócios Internacionais</v>
      </c>
      <c r="I313" s="16" t="str">
        <f t="shared" si="34"/>
        <v>M&amp;A e Negócios Internacionais</v>
      </c>
      <c r="J313" s="16" t="str">
        <f t="shared" si="35"/>
        <v>M&amp;A e Negócios Internacionais</v>
      </c>
      <c r="K313" s="17" t="s">
        <v>1220</v>
      </c>
      <c r="L313" s="17">
        <v>173461</v>
      </c>
      <c r="M313" s="18" t="s">
        <v>1221</v>
      </c>
      <c r="N313" s="17" t="s">
        <v>22</v>
      </c>
      <c r="O313" s="17" t="s">
        <v>1222</v>
      </c>
      <c r="P313" s="17"/>
      <c r="Q313" s="17"/>
      <c r="R313" s="17" t="s">
        <v>30</v>
      </c>
      <c r="S313" s="17" t="s">
        <v>25</v>
      </c>
    </row>
    <row r="314" spans="1:19" ht="15" hidden="1" customHeight="1" x14ac:dyDescent="0.2">
      <c r="A314" s="25" t="s">
        <v>6</v>
      </c>
      <c r="B314" s="26" t="s">
        <v>1215</v>
      </c>
      <c r="C314" s="26" t="s">
        <v>1223</v>
      </c>
      <c r="D314" s="27" t="str">
        <f t="shared" si="29"/>
        <v>Presidência</v>
      </c>
      <c r="E314" s="27" t="str">
        <f t="shared" si="30"/>
        <v>Estratégia e Transformação</v>
      </c>
      <c r="F314" s="27" t="str">
        <f t="shared" si="31"/>
        <v>M&amp;A e Negócios Internacionais</v>
      </c>
      <c r="G314" s="27" t="str">
        <f t="shared" si="32"/>
        <v>M&amp;A Implantação</v>
      </c>
      <c r="H314" s="27" t="str">
        <f t="shared" si="33"/>
        <v>M&amp;A Implantação</v>
      </c>
      <c r="I314" s="27" t="str">
        <f t="shared" si="34"/>
        <v>M&amp;A Implantação</v>
      </c>
      <c r="J314" s="27" t="str">
        <f t="shared" si="35"/>
        <v>M&amp;A Implantação</v>
      </c>
      <c r="K314" s="28" t="s">
        <v>1224</v>
      </c>
      <c r="L314" s="28">
        <v>16072</v>
      </c>
      <c r="M314" s="29" t="s">
        <v>1225</v>
      </c>
      <c r="N314" s="28" t="s">
        <v>22</v>
      </c>
      <c r="O314" s="28" t="s">
        <v>1226</v>
      </c>
      <c r="P314" s="28"/>
      <c r="Q314" s="28"/>
      <c r="R314" s="28" t="s">
        <v>35</v>
      </c>
      <c r="S314" s="28" t="s">
        <v>25</v>
      </c>
    </row>
    <row r="315" spans="1:19" ht="15" hidden="1" customHeight="1" x14ac:dyDescent="0.2">
      <c r="A315" s="25" t="s">
        <v>6</v>
      </c>
      <c r="B315" s="26" t="s">
        <v>1215</v>
      </c>
      <c r="C315" s="26" t="s">
        <v>1227</v>
      </c>
      <c r="D315" s="27" t="str">
        <f t="shared" si="29"/>
        <v>Presidência</v>
      </c>
      <c r="E315" s="27" t="str">
        <f t="shared" si="30"/>
        <v>Estratégia e Transformação</v>
      </c>
      <c r="F315" s="27" t="str">
        <f t="shared" si="31"/>
        <v>M&amp;A e Negócios Internacionais</v>
      </c>
      <c r="G315" s="27" t="str">
        <f t="shared" si="32"/>
        <v>M&amp;A - Avaliações Estratégicas</v>
      </c>
      <c r="H315" s="27" t="str">
        <f t="shared" si="33"/>
        <v>M&amp;A - Avaliações Estratégicas</v>
      </c>
      <c r="I315" s="27" t="str">
        <f t="shared" si="34"/>
        <v>M&amp;A - Avaliações Estratégicas</v>
      </c>
      <c r="J315" s="27" t="str">
        <f t="shared" si="35"/>
        <v>M&amp;A - Avaliações Estratégicas</v>
      </c>
      <c r="K315" s="28" t="s">
        <v>1228</v>
      </c>
      <c r="L315" s="28">
        <v>198627</v>
      </c>
      <c r="M315" s="23" t="s">
        <v>1229</v>
      </c>
      <c r="N315" s="28" t="s">
        <v>22</v>
      </c>
      <c r="O315" s="28" t="s">
        <v>1230</v>
      </c>
      <c r="P315" s="28"/>
      <c r="Q315" s="28"/>
      <c r="R315" s="28" t="s">
        <v>35</v>
      </c>
      <c r="S315" s="28" t="s">
        <v>25</v>
      </c>
    </row>
    <row r="316" spans="1:19" ht="15" hidden="1" customHeight="1" x14ac:dyDescent="0.2">
      <c r="A316" s="14" t="s">
        <v>5</v>
      </c>
      <c r="B316" s="15" t="s">
        <v>1215</v>
      </c>
      <c r="C316" s="15" t="s">
        <v>1231</v>
      </c>
      <c r="D316" s="16" t="str">
        <f t="shared" si="29"/>
        <v>Presidência</v>
      </c>
      <c r="E316" s="16" t="str">
        <f t="shared" si="30"/>
        <v>Estratégia e Transformação</v>
      </c>
      <c r="F316" s="16" t="str">
        <f t="shared" si="31"/>
        <v>Estratégia e Inteligência de Mercado</v>
      </c>
      <c r="G316" s="16" t="str">
        <f t="shared" si="32"/>
        <v>Estratégia e Inteligência de Mercado</v>
      </c>
      <c r="H316" s="16" t="str">
        <f t="shared" si="33"/>
        <v>Estratégia e Inteligência de Mercado</v>
      </c>
      <c r="I316" s="16" t="str">
        <f t="shared" si="34"/>
        <v>Estratégia e Inteligência de Mercado</v>
      </c>
      <c r="J316" s="16" t="str">
        <f t="shared" si="35"/>
        <v>Estratégia e Inteligência de Mercado</v>
      </c>
      <c r="K316" s="17" t="s">
        <v>1232</v>
      </c>
      <c r="L316" s="17">
        <v>309059</v>
      </c>
      <c r="M316" s="18" t="s">
        <v>1233</v>
      </c>
      <c r="N316" s="17" t="s">
        <v>22</v>
      </c>
      <c r="O316" s="17" t="s">
        <v>1234</v>
      </c>
      <c r="P316" s="17"/>
      <c r="Q316" s="17"/>
      <c r="R316" s="17" t="s">
        <v>35</v>
      </c>
      <c r="S316" s="17" t="s">
        <v>25</v>
      </c>
    </row>
    <row r="317" spans="1:19" ht="15" hidden="1" customHeight="1" x14ac:dyDescent="0.2">
      <c r="A317" s="14" t="s">
        <v>5</v>
      </c>
      <c r="B317" s="15" t="s">
        <v>1215</v>
      </c>
      <c r="C317" s="15" t="s">
        <v>1235</v>
      </c>
      <c r="D317" s="16" t="str">
        <f t="shared" si="29"/>
        <v>Presidência</v>
      </c>
      <c r="E317" s="16" t="str">
        <f t="shared" si="30"/>
        <v>Estratégia e Transformação</v>
      </c>
      <c r="F317" s="16" t="str">
        <f t="shared" si="31"/>
        <v>Cobre como Ativo</v>
      </c>
      <c r="G317" s="16" t="str">
        <f t="shared" si="32"/>
        <v>Cobre como Ativo</v>
      </c>
      <c r="H317" s="16" t="str">
        <f t="shared" si="33"/>
        <v>Cobre como Ativo</v>
      </c>
      <c r="I317" s="16" t="str">
        <f t="shared" si="34"/>
        <v>Cobre como Ativo</v>
      </c>
      <c r="J317" s="16" t="str">
        <f t="shared" si="35"/>
        <v>Cobre como Ativo</v>
      </c>
      <c r="K317" s="17" t="s">
        <v>1236</v>
      </c>
      <c r="L317" s="17">
        <v>115879</v>
      </c>
      <c r="M317" s="18" t="s">
        <v>1237</v>
      </c>
      <c r="N317" s="17" t="s">
        <v>22</v>
      </c>
      <c r="O317" s="17" t="s">
        <v>1238</v>
      </c>
      <c r="P317" s="17"/>
      <c r="Q317" s="17"/>
      <c r="R317" s="17" t="s">
        <v>30</v>
      </c>
      <c r="S317" s="17" t="s">
        <v>124</v>
      </c>
    </row>
    <row r="318" spans="1:19" ht="15" hidden="1" customHeight="1" x14ac:dyDescent="0.2">
      <c r="A318" s="25" t="s">
        <v>6</v>
      </c>
      <c r="B318" s="26" t="s">
        <v>1215</v>
      </c>
      <c r="C318" s="26" t="s">
        <v>1239</v>
      </c>
      <c r="D318" s="27" t="str">
        <f t="shared" si="29"/>
        <v>Presidência</v>
      </c>
      <c r="E318" s="27" t="str">
        <f t="shared" si="30"/>
        <v>Estratégia e Transformação</v>
      </c>
      <c r="F318" s="27" t="str">
        <f t="shared" si="31"/>
        <v>Cobre como Ativo</v>
      </c>
      <c r="G318" s="27" t="str">
        <f t="shared" si="32"/>
        <v>S&amp;OP VTAL, De-Average e Logistica Sucata de Cobre</v>
      </c>
      <c r="H318" s="27" t="str">
        <f t="shared" si="33"/>
        <v>S&amp;OP VTAL, De-Average e Logistica Sucata de Cobre</v>
      </c>
      <c r="I318" s="27" t="str">
        <f t="shared" si="34"/>
        <v>S&amp;OP VTAL, De-Average e Logistica Sucata de Cobre</v>
      </c>
      <c r="J318" s="27" t="str">
        <f t="shared" si="35"/>
        <v>S&amp;OP VTAL, De-Average e Logistica Sucata de Cobre</v>
      </c>
      <c r="K318" s="28" t="s">
        <v>1240</v>
      </c>
      <c r="L318" s="28">
        <v>41690</v>
      </c>
      <c r="M318" s="23" t="s">
        <v>1241</v>
      </c>
      <c r="N318" s="28" t="s">
        <v>22</v>
      </c>
      <c r="O318" s="28" t="s">
        <v>1242</v>
      </c>
      <c r="P318" s="28"/>
      <c r="Q318" s="28"/>
      <c r="R318" s="28" t="s">
        <v>35</v>
      </c>
      <c r="S318" s="28" t="s">
        <v>124</v>
      </c>
    </row>
    <row r="319" spans="1:19" ht="15" hidden="1" customHeight="1" x14ac:dyDescent="0.2">
      <c r="A319" s="25" t="s">
        <v>6</v>
      </c>
      <c r="B319" s="26" t="s">
        <v>1215</v>
      </c>
      <c r="C319" s="26" t="s">
        <v>1243</v>
      </c>
      <c r="D319" s="27" t="str">
        <f t="shared" si="29"/>
        <v>Presidência</v>
      </c>
      <c r="E319" s="27" t="str">
        <f t="shared" si="30"/>
        <v>Estratégia e Transformação</v>
      </c>
      <c r="F319" s="27" t="str">
        <f t="shared" si="31"/>
        <v>Cobre como Ativo</v>
      </c>
      <c r="G319" s="27" t="str">
        <f t="shared" si="32"/>
        <v>Operação do Cobre e Demandas da Rede Externa</v>
      </c>
      <c r="H319" s="27" t="str">
        <f t="shared" si="33"/>
        <v>Operação do Cobre e Demandas da Rede Externa</v>
      </c>
      <c r="I319" s="27" t="str">
        <f t="shared" si="34"/>
        <v>Operação do Cobre e Demandas da Rede Externa</v>
      </c>
      <c r="J319" s="27" t="str">
        <f t="shared" si="35"/>
        <v>Operação do Cobre e Demandas da Rede Externa</v>
      </c>
      <c r="K319" s="28" t="s">
        <v>1244</v>
      </c>
      <c r="L319" s="28">
        <v>299659</v>
      </c>
      <c r="M319" s="23" t="s">
        <v>1245</v>
      </c>
      <c r="N319" s="28" t="s">
        <v>22</v>
      </c>
      <c r="O319" s="28" t="s">
        <v>1246</v>
      </c>
      <c r="P319" s="28"/>
      <c r="Q319" s="28"/>
      <c r="R319" s="28" t="s">
        <v>35</v>
      </c>
      <c r="S319" s="28" t="s">
        <v>124</v>
      </c>
    </row>
    <row r="320" spans="1:19" ht="15" hidden="1" customHeight="1" x14ac:dyDescent="0.2">
      <c r="A320" s="25" t="s">
        <v>6</v>
      </c>
      <c r="B320" s="26" t="s">
        <v>1215</v>
      </c>
      <c r="C320" s="26" t="s">
        <v>1247</v>
      </c>
      <c r="D320" s="27" t="str">
        <f t="shared" si="29"/>
        <v>Presidência</v>
      </c>
      <c r="E320" s="27" t="str">
        <f t="shared" si="30"/>
        <v>Estratégia e Transformação</v>
      </c>
      <c r="F320" s="27" t="str">
        <f t="shared" si="31"/>
        <v>Cobre como Ativo</v>
      </c>
      <c r="G320" s="27" t="str">
        <f t="shared" si="32"/>
        <v>Desempenho, Processos e Demandas Anatel</v>
      </c>
      <c r="H320" s="27" t="str">
        <f t="shared" si="33"/>
        <v>Desempenho, Processos e Demandas Anatel</v>
      </c>
      <c r="I320" s="27" t="str">
        <f t="shared" si="34"/>
        <v>Desempenho, Processos e Demandas Anatel</v>
      </c>
      <c r="J320" s="27" t="str">
        <f t="shared" si="35"/>
        <v>Desempenho, Processos e Demandas Anatel</v>
      </c>
      <c r="K320" s="28" t="s">
        <v>1248</v>
      </c>
      <c r="L320" s="28">
        <v>37789</v>
      </c>
      <c r="M320" s="23" t="s">
        <v>1249</v>
      </c>
      <c r="N320" s="28" t="s">
        <v>22</v>
      </c>
      <c r="O320" s="28" t="s">
        <v>1250</v>
      </c>
      <c r="P320" s="28"/>
      <c r="Q320" s="28"/>
      <c r="R320" s="28" t="s">
        <v>35</v>
      </c>
      <c r="S320" s="28" t="s">
        <v>124</v>
      </c>
    </row>
    <row r="321" spans="1:19" ht="15" hidden="1" customHeight="1" x14ac:dyDescent="0.2">
      <c r="A321" s="14" t="s">
        <v>5</v>
      </c>
      <c r="B321" s="15" t="s">
        <v>1215</v>
      </c>
      <c r="C321" s="15" t="s">
        <v>1251</v>
      </c>
      <c r="D321" s="16" t="str">
        <f t="shared" si="29"/>
        <v>Presidência</v>
      </c>
      <c r="E321" s="16" t="str">
        <f t="shared" si="30"/>
        <v>Estratégia e Transformação</v>
      </c>
      <c r="F321" s="16" t="str">
        <f t="shared" si="31"/>
        <v>Gestão Comercial do Cobre e Relacionamento</v>
      </c>
      <c r="G321" s="16" t="str">
        <f t="shared" si="32"/>
        <v>Gestão Comercial do Cobre e Relacionamento</v>
      </c>
      <c r="H321" s="16" t="str">
        <f t="shared" si="33"/>
        <v>Gestão Comercial do Cobre e Relacionamento</v>
      </c>
      <c r="I321" s="16" t="str">
        <f t="shared" si="34"/>
        <v>Gestão Comercial do Cobre e Relacionamento</v>
      </c>
      <c r="J321" s="16" t="str">
        <f t="shared" si="35"/>
        <v>Gestão Comercial do Cobre e Relacionamento</v>
      </c>
      <c r="K321" s="17" t="s">
        <v>1252</v>
      </c>
      <c r="L321" s="17">
        <v>34436</v>
      </c>
      <c r="M321" s="18" t="s">
        <v>1253</v>
      </c>
      <c r="N321" s="17" t="s">
        <v>22</v>
      </c>
      <c r="O321" s="17" t="s">
        <v>1254</v>
      </c>
      <c r="P321" s="17"/>
      <c r="Q321" s="17"/>
      <c r="R321" s="17" t="s">
        <v>30</v>
      </c>
      <c r="S321" s="17" t="s">
        <v>124</v>
      </c>
    </row>
    <row r="322" spans="1:19" ht="15" hidden="1" customHeight="1" x14ac:dyDescent="0.2">
      <c r="A322" s="25" t="s">
        <v>6</v>
      </c>
      <c r="B322" s="26" t="s">
        <v>1215</v>
      </c>
      <c r="C322" s="26" t="s">
        <v>1255</v>
      </c>
      <c r="D322" s="27" t="str">
        <f t="shared" si="29"/>
        <v>Presidência</v>
      </c>
      <c r="E322" s="27" t="str">
        <f t="shared" si="30"/>
        <v>Estratégia e Transformação</v>
      </c>
      <c r="F322" s="27" t="str">
        <f t="shared" si="31"/>
        <v>Gestão Comercial do Cobre e Relacionamento</v>
      </c>
      <c r="G322" s="27" t="str">
        <f t="shared" si="32"/>
        <v>Gestão da Operação de Atendimento</v>
      </c>
      <c r="H322" s="27" t="str">
        <f t="shared" si="33"/>
        <v>Gestão da Operação de Atendimento</v>
      </c>
      <c r="I322" s="27" t="str">
        <f t="shared" si="34"/>
        <v>Gestão da Operação de Atendimento</v>
      </c>
      <c r="J322" s="27" t="str">
        <f t="shared" si="35"/>
        <v>Gestão da Operação de Atendimento</v>
      </c>
      <c r="K322" s="28" t="s">
        <v>1256</v>
      </c>
      <c r="L322" s="28">
        <v>20128</v>
      </c>
      <c r="M322" s="23" t="s">
        <v>1257</v>
      </c>
      <c r="N322" s="28" t="s">
        <v>22</v>
      </c>
      <c r="O322" s="28" t="s">
        <v>1258</v>
      </c>
      <c r="P322" s="28"/>
      <c r="Q322" s="28"/>
      <c r="R322" s="28" t="s">
        <v>35</v>
      </c>
      <c r="S322" s="28" t="s">
        <v>124</v>
      </c>
    </row>
    <row r="323" spans="1:19" ht="15" hidden="1" customHeight="1" x14ac:dyDescent="0.2">
      <c r="A323" s="25" t="s">
        <v>6</v>
      </c>
      <c r="B323" s="26" t="s">
        <v>1215</v>
      </c>
      <c r="C323" s="26" t="s">
        <v>1259</v>
      </c>
      <c r="D323" s="27" t="str">
        <f t="shared" ref="D323:D327" si="36">IF($A323=D$1,$C323,IF(TEXT(RIGHT($A323,1),0)&lt;TEXT(RIGHT(D$1,1),0),C323,D322))</f>
        <v>Presidência</v>
      </c>
      <c r="E323" s="27" t="str">
        <f t="shared" ref="E323:E327" si="37">IF($A323=E$1,$C323,IF(TEXT(RIGHT($A323,1),0)&lt;TEXT(RIGHT(E$1,1),0),D323,E322))</f>
        <v>Estratégia e Transformação</v>
      </c>
      <c r="F323" s="27" t="str">
        <f t="shared" ref="F323:F327" si="38">IF($A323=F$1,$C323,IF(TEXT(RIGHT($A323,1),0)&lt;TEXT(RIGHT(F$1,1),0),E323,F322))</f>
        <v>Gestão Comercial do Cobre e Relacionamento</v>
      </c>
      <c r="G323" s="27" t="str">
        <f t="shared" ref="G323:G327" si="39">IF($A323=G$1,$C323,IF(TEXT(RIGHT($A323,1),0)&lt;TEXT(RIGHT(G$1,1),0),F323,G322))</f>
        <v>Estratégia de Migração, Ofertas e Produto Cobre</v>
      </c>
      <c r="H323" s="27" t="str">
        <f t="shared" ref="H323:H327" si="40">IF($A323=H$1,$C323,IF(TEXT(RIGHT($A323,1),0)&lt;TEXT(RIGHT(H$1,1),0),G323,H322))</f>
        <v>Estratégia de Migração, Ofertas e Produto Cobre</v>
      </c>
      <c r="I323" s="27" t="str">
        <f t="shared" ref="I323:I327" si="41">IF($A323=I$1,$C323,IF(TEXT(RIGHT($A323,1),0)&lt;TEXT(RIGHT(I$1,1),0),H323,I322))</f>
        <v>Estratégia de Migração, Ofertas e Produto Cobre</v>
      </c>
      <c r="J323" s="27" t="str">
        <f t="shared" ref="J323:J327" si="42">IF($A323=J$1,$C323,IF(TEXT(RIGHT($A323,1),0)&lt;TEXT(RIGHT(J$1,1),0),I323,J322))</f>
        <v>Estratégia de Migração, Ofertas e Produto Cobre</v>
      </c>
      <c r="K323" s="28" t="s">
        <v>1260</v>
      </c>
      <c r="L323" s="28">
        <v>319187</v>
      </c>
      <c r="M323" s="23" t="s">
        <v>1261</v>
      </c>
      <c r="N323" s="28" t="s">
        <v>22</v>
      </c>
      <c r="O323" s="28" t="s">
        <v>1262</v>
      </c>
      <c r="P323" s="28"/>
      <c r="Q323" s="28"/>
      <c r="R323" s="28" t="s">
        <v>35</v>
      </c>
      <c r="S323" s="28" t="s">
        <v>124</v>
      </c>
    </row>
    <row r="324" spans="1:19" ht="15" hidden="1" customHeight="1" x14ac:dyDescent="0.2">
      <c r="A324" s="14" t="s">
        <v>5</v>
      </c>
      <c r="B324" s="15" t="s">
        <v>1215</v>
      </c>
      <c r="C324" s="15" t="s">
        <v>1263</v>
      </c>
      <c r="D324" s="16" t="str">
        <f t="shared" si="36"/>
        <v>Presidência</v>
      </c>
      <c r="E324" s="16" t="str">
        <f t="shared" si="37"/>
        <v>Estratégia e Transformação</v>
      </c>
      <c r="F324" s="16" t="str">
        <f t="shared" si="38"/>
        <v>Transição Móvel e TV</v>
      </c>
      <c r="G324" s="16" t="str">
        <f t="shared" si="39"/>
        <v>Transição Móvel e TV</v>
      </c>
      <c r="H324" s="16" t="str">
        <f t="shared" si="40"/>
        <v>Transição Móvel e TV</v>
      </c>
      <c r="I324" s="16" t="str">
        <f t="shared" si="41"/>
        <v>Transição Móvel e TV</v>
      </c>
      <c r="J324" s="16" t="str">
        <f t="shared" si="42"/>
        <v>Transição Móvel e TV</v>
      </c>
      <c r="K324" s="42" t="s">
        <v>1264</v>
      </c>
      <c r="L324" s="42">
        <v>279328</v>
      </c>
      <c r="M324" s="39" t="s">
        <v>1265</v>
      </c>
      <c r="N324" s="17" t="s">
        <v>22</v>
      </c>
      <c r="O324" s="17" t="s">
        <v>1266</v>
      </c>
      <c r="P324" s="17"/>
      <c r="Q324" s="17"/>
      <c r="R324" s="17" t="s">
        <v>30</v>
      </c>
      <c r="S324" s="17" t="s">
        <v>1267</v>
      </c>
    </row>
    <row r="325" spans="1:19" ht="15" hidden="1" customHeight="1" x14ac:dyDescent="0.2">
      <c r="A325" s="25" t="s">
        <v>6</v>
      </c>
      <c r="B325" s="26" t="s">
        <v>1215</v>
      </c>
      <c r="C325" s="26" t="s">
        <v>1268</v>
      </c>
      <c r="D325" s="27" t="str">
        <f t="shared" si="36"/>
        <v>Presidência</v>
      </c>
      <c r="E325" s="27" t="str">
        <f t="shared" si="37"/>
        <v>Estratégia e Transformação</v>
      </c>
      <c r="F325" s="27" t="str">
        <f t="shared" si="38"/>
        <v>Transição Móvel e TV</v>
      </c>
      <c r="G325" s="27" t="str">
        <f t="shared" si="39"/>
        <v>Gestao da Base TV</v>
      </c>
      <c r="H325" s="27" t="str">
        <f t="shared" si="40"/>
        <v>Gestao da Base TV</v>
      </c>
      <c r="I325" s="27" t="str">
        <f t="shared" si="41"/>
        <v>Gestao da Base TV</v>
      </c>
      <c r="J325" s="27" t="str">
        <f t="shared" si="42"/>
        <v>Gestao da Base TV</v>
      </c>
      <c r="K325" s="43" t="s">
        <v>1269</v>
      </c>
      <c r="L325" s="43">
        <v>47251</v>
      </c>
      <c r="M325" s="38" t="s">
        <v>1270</v>
      </c>
      <c r="N325" s="28" t="s">
        <v>22</v>
      </c>
      <c r="O325" s="28" t="s">
        <v>1271</v>
      </c>
      <c r="P325" s="28"/>
      <c r="Q325" s="28"/>
      <c r="R325" s="28" t="s">
        <v>35</v>
      </c>
      <c r="S325" s="28" t="s">
        <v>1267</v>
      </c>
    </row>
    <row r="326" spans="1:19" ht="15" hidden="1" customHeight="1" x14ac:dyDescent="0.2">
      <c r="A326" s="25" t="s">
        <v>6</v>
      </c>
      <c r="B326" s="26" t="s">
        <v>1215</v>
      </c>
      <c r="C326" s="26" t="s">
        <v>1272</v>
      </c>
      <c r="D326" s="27" t="str">
        <f t="shared" si="36"/>
        <v>Presidência</v>
      </c>
      <c r="E326" s="27" t="str">
        <f t="shared" si="37"/>
        <v>Estratégia e Transformação</v>
      </c>
      <c r="F326" s="27" t="str">
        <f t="shared" si="38"/>
        <v>Transição Móvel e TV</v>
      </c>
      <c r="G326" s="27" t="str">
        <f t="shared" si="39"/>
        <v>Atendimento Móvel e TV</v>
      </c>
      <c r="H326" s="27" t="str">
        <f t="shared" si="40"/>
        <v>Atendimento Móvel e TV</v>
      </c>
      <c r="I326" s="27" t="str">
        <f t="shared" si="41"/>
        <v>Atendimento Móvel e TV</v>
      </c>
      <c r="J326" s="27" t="str">
        <f t="shared" si="42"/>
        <v>Atendimento Móvel e TV</v>
      </c>
      <c r="K326" s="43" t="s">
        <v>1273</v>
      </c>
      <c r="L326" s="43">
        <v>410143</v>
      </c>
      <c r="M326" s="38" t="s">
        <v>1274</v>
      </c>
      <c r="N326" s="28" t="s">
        <v>22</v>
      </c>
      <c r="O326" s="28" t="s">
        <v>1275</v>
      </c>
      <c r="P326" s="28"/>
      <c r="Q326" s="28"/>
      <c r="R326" s="28" t="s">
        <v>35</v>
      </c>
      <c r="S326" s="28" t="s">
        <v>1267</v>
      </c>
    </row>
    <row r="327" spans="1:19" ht="15" hidden="1" customHeight="1" x14ac:dyDescent="0.2">
      <c r="A327" s="25" t="s">
        <v>6</v>
      </c>
      <c r="B327" s="26" t="s">
        <v>1215</v>
      </c>
      <c r="C327" s="26" t="s">
        <v>1276</v>
      </c>
      <c r="D327" s="27" t="str">
        <f t="shared" si="36"/>
        <v>Presidência</v>
      </c>
      <c r="E327" s="27" t="str">
        <f t="shared" si="37"/>
        <v>Estratégia e Transformação</v>
      </c>
      <c r="F327" s="27" t="str">
        <f t="shared" si="38"/>
        <v>Transição Móvel e TV</v>
      </c>
      <c r="G327" s="27" t="str">
        <f t="shared" si="39"/>
        <v>Planejamento e Produto Móvel e TV</v>
      </c>
      <c r="H327" s="27" t="str">
        <f t="shared" si="40"/>
        <v>Planejamento e Produto Móvel e TV</v>
      </c>
      <c r="I327" s="27" t="str">
        <f t="shared" si="41"/>
        <v>Planejamento e Produto Móvel e TV</v>
      </c>
      <c r="J327" s="27" t="str">
        <f t="shared" si="42"/>
        <v>Planejamento e Produto Móvel e TV</v>
      </c>
      <c r="K327" s="28" t="s">
        <v>1277</v>
      </c>
      <c r="L327" s="28">
        <v>159052</v>
      </c>
      <c r="M327" s="29" t="s">
        <v>1278</v>
      </c>
      <c r="N327" s="28" t="s">
        <v>22</v>
      </c>
      <c r="O327" s="28" t="s">
        <v>1279</v>
      </c>
      <c r="P327" s="28"/>
      <c r="Q327" s="28"/>
      <c r="R327" s="28" t="s">
        <v>35</v>
      </c>
      <c r="S327" s="28" t="s">
        <v>1267</v>
      </c>
    </row>
  </sheetData>
  <sheetProtection algorithmName="SHA-512" hashValue="/5qZKeZ1/RncrxwdpMdX1U/EYvUDOXcK1G3bI+sgmF5UuDgyVWG3k2+ZcJDAPkTGrRH79AF5g1kqGxAWk+c91g==" saltValue="DMy5LpkJRwoLeTUbFqPyyQ==" spinCount="100000" sheet="1" sort="0" autoFilter="0" pivotTables="0"/>
  <autoFilter ref="A1:S327" xr:uid="{00000000-0009-0000-0000-000000000000}">
    <filterColumn colId="2">
      <colorFilter dxfId="0"/>
    </filterColumn>
  </autoFilter>
  <dataConsolidate/>
  <pageMargins left="0.511811024" right="0.511811024" top="0.78740157499999996" bottom="0.78740157499999996" header="0.31496062000000002" footer="0.31496062000000002"/>
  <pageSetup paperSize="9" scale="1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12A8967B25D845BB7DBDA37E713A47" ma:contentTypeVersion="7" ma:contentTypeDescription="Crie um novo documento." ma:contentTypeScope="" ma:versionID="711efae49fb0a7c644b3b3d0378a0d8f">
  <xsd:schema xmlns:xsd="http://www.w3.org/2001/XMLSchema" xmlns:xs="http://www.w3.org/2001/XMLSchema" xmlns:p="http://schemas.microsoft.com/office/2006/metadata/properties" xmlns:ns2="ae301f87-5dd8-4c7d-a036-52ef56b30572" xmlns:ns3="4602c392-2ba7-4f7c-9573-8fc7a8782b67" targetNamespace="http://schemas.microsoft.com/office/2006/metadata/properties" ma:root="true" ma:fieldsID="12a918e72022cfab843fac06f71a40ff" ns2:_="" ns3:_="">
    <xsd:import namespace="ae301f87-5dd8-4c7d-a036-52ef56b30572"/>
    <xsd:import namespace="4602c392-2ba7-4f7c-9573-8fc7a8782b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301f87-5dd8-4c7d-a036-52ef56b30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2c392-2ba7-4f7c-9573-8fc7a8782b6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7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70DD03-EC3D-4BC8-BCEB-CA49023C22A4}">
  <ds:schemaRefs>
    <ds:schemaRef ds:uri="http://purl.org/dc/terms/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4602c392-2ba7-4f7c-9573-8fc7a8782b67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ae301f87-5dd8-4c7d-a036-52ef56b30572"/>
  </ds:schemaRefs>
</ds:datastoreItem>
</file>

<file path=customXml/itemProps2.xml><?xml version="1.0" encoding="utf-8"?>
<ds:datastoreItem xmlns:ds="http://schemas.openxmlformats.org/officeDocument/2006/customXml" ds:itemID="{CA78C160-4548-4AB5-8AC4-96FB3867A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301f87-5dd8-4c7d-a036-52ef56b30572"/>
    <ds:schemaRef ds:uri="4602c392-2ba7-4f7c-9573-8fc7a8782b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2BC5E7-DA93-457C-AD5F-17A0A5530F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Mapa de Estrutura</vt:lpstr>
    </vt:vector>
  </TitlesOfParts>
  <Manager/>
  <Company>OI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Yasmin Dhellys Estevao Marinho</dc:creator>
  <cp:keywords/>
  <dc:description/>
  <cp:lastModifiedBy>Alessandro Barbosa</cp:lastModifiedBy>
  <cp:revision/>
  <dcterms:created xsi:type="dcterms:W3CDTF">2023-10-19T20:31:56Z</dcterms:created>
  <dcterms:modified xsi:type="dcterms:W3CDTF">2024-04-03T16:55:39Z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0x0101004012A8967B25D845BB7DBDA37E713A47</vt:lpwstr>
  </property>
  <property fmtid="{D5CDD505-2E9C-101B-9397-08002B2CF9AE}" pid="3" name="MSIP_Label_36572169-9946-428c-9917-b56b5892176f_Enabled">
    <vt:lpwstr>true</vt:lpwstr>
  </property>
  <property fmtid="{D5CDD505-2E9C-101B-9397-08002B2CF9AE}" pid="4" name="MSIP_Label_36572169-9946-428c-9917-b56b5892176f_SetDate">
    <vt:lpwstr>2024-03-21T13:31:26Z</vt:lpwstr>
  </property>
  <property fmtid="{D5CDD505-2E9C-101B-9397-08002B2CF9AE}" pid="5" name="MSIP_Label_36572169-9946-428c-9917-b56b5892176f_Method">
    <vt:lpwstr>Standard</vt:lpwstr>
  </property>
  <property fmtid="{D5CDD505-2E9C-101B-9397-08002B2CF9AE}" pid="6" name="MSIP_Label_36572169-9946-428c-9917-b56b5892176f_Name">
    <vt:lpwstr>Dado de uso interno</vt:lpwstr>
  </property>
  <property fmtid="{D5CDD505-2E9C-101B-9397-08002B2CF9AE}" pid="7" name="MSIP_Label_36572169-9946-428c-9917-b56b5892176f_SiteId">
    <vt:lpwstr>2b787135-ca3a-486c-bd0a-f6015fbf39b8</vt:lpwstr>
  </property>
  <property fmtid="{D5CDD505-2E9C-101B-9397-08002B2CF9AE}" pid="8" name="MSIP_Label_36572169-9946-428c-9917-b56b5892176f_ActionId">
    <vt:lpwstr>b500e93f-eedc-4403-8048-a66d7b4dd4ab</vt:lpwstr>
  </property>
  <property fmtid="{D5CDD505-2E9C-101B-9397-08002B2CF9AE}" pid="9" name="MSIP_Label_36572169-9946-428c-9917-b56b5892176f_ContentBits">
    <vt:lpwstr>0</vt:lpwstr>
  </property>
</Properties>
</file>