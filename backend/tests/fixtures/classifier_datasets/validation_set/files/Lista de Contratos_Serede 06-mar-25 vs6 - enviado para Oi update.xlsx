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OI312657\Documents\Viviane\09 - Projetos M&amp;A\Projeto BN - Serede\Contratos\"/>
    </mc:Choice>
  </mc:AlternateContent>
  <bookViews>
    <workbookView xWindow="0" yWindow="0" windowWidth="19200" windowHeight="6645" tabRatio="558" activeTab="2"/>
  </bookViews>
  <sheets>
    <sheet name="Resumo" sheetId="9" r:id="rId1"/>
    <sheet name="Planilha2" sheetId="11" r:id="rId2"/>
    <sheet name="1. Base de Contratos" sheetId="1" r:id="rId3"/>
    <sheet name="Iniciar Contato com Fornecedor " sheetId="13" r:id="rId4"/>
  </sheets>
  <definedNames>
    <definedName name="_xlnm._FilterDatabase" localSheetId="2" hidden="1">'1. Base de Contratos'!$A$6:$BB$221</definedName>
  </definedNames>
  <calcPr calcId="162913"/>
  <pivotCaches>
    <pivotCache cacheId="21" r:id="rId5"/>
    <pivotCache cacheId="2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9" l="1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12" i="9"/>
  <c r="C28" i="9" l="1"/>
  <c r="H4" i="1"/>
  <c r="P4" i="1" l="1"/>
</calcChain>
</file>

<file path=xl/sharedStrings.xml><?xml version="1.0" encoding="utf-8"?>
<sst xmlns="http://schemas.openxmlformats.org/spreadsheetml/2006/main" count="3890" uniqueCount="616">
  <si>
    <t>BASE DE CONTRATOS SEREDE - Suprimentos</t>
  </si>
  <si>
    <t>Gerente: Marcelo de Oliveira</t>
  </si>
  <si>
    <t>INCORP SEREDE/Oi</t>
  </si>
  <si>
    <t>Minuta SEREDE?</t>
  </si>
  <si>
    <t>Cessão</t>
  </si>
  <si>
    <t>Denúncia do Contrato</t>
  </si>
  <si>
    <t>Observação Contrato</t>
  </si>
  <si>
    <t>Contrato já enviado para Oi?</t>
  </si>
  <si>
    <t>Área SEREDE</t>
  </si>
  <si>
    <t>Responsável SEREDE</t>
  </si>
  <si>
    <t>Fornecedor</t>
  </si>
  <si>
    <t>Fim Vigência</t>
  </si>
  <si>
    <t>Objeto</t>
  </si>
  <si>
    <t>Comprador</t>
  </si>
  <si>
    <t>Há Clausula de cessão direcionada a Serede?</t>
  </si>
  <si>
    <t>Obrigatório comunicar à contratada?</t>
  </si>
  <si>
    <t>Rescisão Imotivada</t>
  </si>
  <si>
    <t>Tipo Minuta</t>
  </si>
  <si>
    <t>AÇÃO</t>
  </si>
  <si>
    <t>Sim/Não</t>
  </si>
  <si>
    <t>Nº Clausula</t>
  </si>
  <si>
    <t>Dias</t>
  </si>
  <si>
    <t>Multa Sim/Não</t>
  </si>
  <si>
    <t>Multa (%)</t>
  </si>
  <si>
    <t>Observação</t>
  </si>
  <si>
    <t>RH</t>
  </si>
  <si>
    <t>N/A</t>
  </si>
  <si>
    <t>PLANO DE SAÚDE</t>
  </si>
  <si>
    <t>Edson Shimamura</t>
  </si>
  <si>
    <t>Não</t>
  </si>
  <si>
    <t>Informação não Localizada</t>
  </si>
  <si>
    <t>Sim</t>
  </si>
  <si>
    <t>Ver Obs</t>
  </si>
  <si>
    <t>3 Faturas</t>
  </si>
  <si>
    <t>TI</t>
  </si>
  <si>
    <t>Lino Neto</t>
  </si>
  <si>
    <t>LINHA MÓVEL CORPORATIVA</t>
  </si>
  <si>
    <t>Proporcional ao tempo que falta da vigência</t>
  </si>
  <si>
    <t>SUL AMERICA COMPANHIA DE SEGURO SAU</t>
  </si>
  <si>
    <t>Jurídico</t>
  </si>
  <si>
    <t>ALBERNARD &amp; GALVAO ADVOGADOS ASSOCI</t>
  </si>
  <si>
    <t>SERVIÇOS ADVOCATÍCIOS</t>
  </si>
  <si>
    <t>CAPUTO, BASTOS E SERRA ADVOGADOS</t>
  </si>
  <si>
    <t>FERREIRA GUIMARAES &amp; LIMA BRANDÃO</t>
  </si>
  <si>
    <t>FLAVIO LOPES - SOCIEDADE INDIVIDUAL</t>
  </si>
  <si>
    <t>UNIMED CURITIBA - SOCIEDADE COOPERA</t>
  </si>
  <si>
    <t>VENDRAME CONSULTORES ASSOCIADOS LTD</t>
  </si>
  <si>
    <t>Até conclusão do serviço</t>
  </si>
  <si>
    <t>SARAIVA SOCIEDADE INDIVIDUAL DE ADV</t>
  </si>
  <si>
    <t>PETRI &amp; MACHADO DA ROSA ADVOCACIA</t>
  </si>
  <si>
    <t>RAIA DROGASIL S.A</t>
  </si>
  <si>
    <t>PROGRAMA DE BENEFÍCIO DE MEDICAMENTOS</t>
  </si>
  <si>
    <t>ANDRADE D’OLIVEIRA ADVOGADOS E CONSULTORES</t>
  </si>
  <si>
    <t>ESCOLA DE EDUCAÇÃO PROFISSIONAL BIG MASTER LTDA</t>
  </si>
  <si>
    <t>PERÍCIA COMPUTACIONAL</t>
  </si>
  <si>
    <t>SESC</t>
  </si>
  <si>
    <t>CREDENCIAMENTO AO SESC</t>
  </si>
  <si>
    <t>UNIMED RIO GRANDE DO SUL</t>
  </si>
  <si>
    <t>Frota</t>
  </si>
  <si>
    <t>Wilton Moreira</t>
  </si>
  <si>
    <t>LOCAÇÃO DE VEÍCULOS PESADOS</t>
  </si>
  <si>
    <t>Cristiane Oliveira</t>
  </si>
  <si>
    <t>Se denúncia até o 30º mês da assinatura do CONTRATO, a multa aplicada à Parte que rescindiu o CONTRATO de 50% sobre os meses do saldo do CONTRATO do valor total dos alugueis, referentes aos meses de Locação que ainda faltarem para o término do CONTRATO.
Se denúncia a partir do 31º mês da data de assinatura do CONTRATO, não haverá multa contratual</t>
  </si>
  <si>
    <t>Patrimônio</t>
  </si>
  <si>
    <t>Hugo Di Biase</t>
  </si>
  <si>
    <t>SERVIÇOS DE HOSPEDAGENS E VIAGENS</t>
  </si>
  <si>
    <t>Anny Batista</t>
  </si>
  <si>
    <t>Telemetria e rastreamento de veículos</t>
  </si>
  <si>
    <t>Minuta Oi, contrato vencido em processo de renovação pela Oi</t>
  </si>
  <si>
    <t>GESTÃO E ADM DE ABASTECIMENTO DE COMBUSTÍVEL</t>
  </si>
  <si>
    <t>Logística</t>
  </si>
  <si>
    <t>Fabíola Sodré</t>
  </si>
  <si>
    <t>SERVIÇO DE FRETE</t>
  </si>
  <si>
    <t>Laíza Estabile</t>
  </si>
  <si>
    <t>Facilities</t>
  </si>
  <si>
    <t>SERVIÇOS DE PORTARIA - BASES RJ</t>
  </si>
  <si>
    <t>Ana Angélica</t>
  </si>
  <si>
    <t>SERVIÇOS DE SEGURANÇA SOB DEMANDA</t>
  </si>
  <si>
    <t>NÃO</t>
  </si>
  <si>
    <t xml:space="preserve">Multa em caso de rescisão unilateral </t>
  </si>
  <si>
    <t>SERVIÇOS DE PORTARIA- NO / NE</t>
  </si>
  <si>
    <t>SERVIÇO DE CORREIOS</t>
  </si>
  <si>
    <t>9.1.1</t>
  </si>
  <si>
    <t>assegurado aos CORREIOS o direito de recebimento dos
valores correspondentes aos produtos adquiridos e aos serviços prestados à CONTRATANTE até a data da rescisão, bem como à proporcionalidade do valor mínimo contratado</t>
  </si>
  <si>
    <t>Segurança</t>
  </si>
  <si>
    <t>NA</t>
  </si>
  <si>
    <t>LOCAÇÃO DE IMÓVEL - ENDEREÇOS DIVERSOS</t>
  </si>
  <si>
    <t>SEGURO AGREGADO</t>
  </si>
  <si>
    <t>Informação não localizada</t>
  </si>
  <si>
    <t xml:space="preserve">Trata-se de uma apólice de seguro </t>
  </si>
  <si>
    <t>LOCAÇÃO DE DETECTORES DE GÁS</t>
  </si>
  <si>
    <t>19,6% - rescisão entre 1 e 12m // 14,7% - rescisão entre 13 e 24m // 9,8% - rescisão entre 25 e 36m // 4,9% - rescisão entre 37 e 48m</t>
  </si>
  <si>
    <t>LOGÍSTICA REVERSA NACIONAL</t>
  </si>
  <si>
    <t>LOC. EMPILHADEIRA C/ MANUT. RS, PR, SC, RJ</t>
  </si>
  <si>
    <t>PRESTAÇÃO DE SERVIÇOS DE DADOS E SEGURANÇA</t>
  </si>
  <si>
    <t>Thamires Xavier</t>
  </si>
  <si>
    <t>Locação de Imóvel</t>
  </si>
  <si>
    <t>Licenciamento e serviços de suporte especializado em produtos Microsoft</t>
  </si>
  <si>
    <t>Item 7 da proposta comercial</t>
  </si>
  <si>
    <t>25% das parcelas vincendas</t>
  </si>
  <si>
    <t>SESMT</t>
  </si>
  <si>
    <t>Fabiano Prudêncio</t>
  </si>
  <si>
    <t>EXAMES MÉDICOS OCUPACIONAIS</t>
  </si>
  <si>
    <t>LOCAÇÃO DE IMPRESSORAS</t>
  </si>
  <si>
    <t>50% (do valor do faturamento, proporcionalmente aos meses restantes para o término do Contrato</t>
  </si>
  <si>
    <t>SISTEMA DE PONTO ELETRÔNICO</t>
  </si>
  <si>
    <t>LOCAÇÃO DE EQUIPAMENTOS</t>
  </si>
  <si>
    <t>5.2 b</t>
  </si>
  <si>
    <t>FORNECIMENTO DE FARDAMENTO</t>
  </si>
  <si>
    <t>LOCAÇÃO DE IMÓVEL - SALVADOR / BA</t>
  </si>
  <si>
    <t>Valor de 03 (três) meses de aluguel proporcionais ao 
prazo de vigência não cumprido.</t>
  </si>
  <si>
    <t>DIGITALIZAÇÃO DE DOCUMENTOS</t>
  </si>
  <si>
    <t>FORNECIMENTO DE EPI</t>
  </si>
  <si>
    <t>SERVIÇOS DE LOCAÇÃO, INSTALAÇÃO E MANUTENÇÃO DE CFTV</t>
  </si>
  <si>
    <t>LOC. EMPILHADEIRA CE, MA, PE, PB, RN, PI, BA</t>
  </si>
  <si>
    <t>PLATAFORMA DE TRANSPORTE DE PASSAGEIROS</t>
  </si>
  <si>
    <t xml:space="preserve">Rescisão imotivada prevista no Termo de Contratação da Plataforma Uber para empresas </t>
  </si>
  <si>
    <t>SISTEMA DE GESTÃO DE FROTA</t>
  </si>
  <si>
    <t>Em renovação</t>
  </si>
  <si>
    <t>RECRUTAMENTO E SELEÇÃO</t>
  </si>
  <si>
    <t>FORNECIMENTO DE ESCADAS</t>
  </si>
  <si>
    <t>3 alugueres mensais</t>
  </si>
  <si>
    <t>LICENÇA LMS (LEARNING MANAGEMENT SYSTEM)</t>
  </si>
  <si>
    <t>Esta cláusula foi incluída no 3º termo aditivo</t>
  </si>
  <si>
    <t>LOCAÇÃO DE IMÓVEL - TERESINA</t>
  </si>
  <si>
    <t>3 alugueres Mensais</t>
  </si>
  <si>
    <t>SUPORTE DE PRODUTO SAP ECC E PI N4</t>
  </si>
  <si>
    <t>LICENCIAMENTO DA PLAT. DE ADMISSÃO DIGITAL</t>
  </si>
  <si>
    <t>Controladoria</t>
  </si>
  <si>
    <t>Tharcia Leite</t>
  </si>
  <si>
    <t>MAPEAMENTO E ANÁLISE DA FOLHA DE PAGAMENTO</t>
  </si>
  <si>
    <t>LOCAÇÃO DE IMÓVEL PB</t>
  </si>
  <si>
    <t>SERV. DE OP. LOGÍSTICO PARA AM</t>
  </si>
  <si>
    <t>11.1.1.10</t>
  </si>
  <si>
    <t>Auditoria</t>
  </si>
  <si>
    <t>Fidelis Ramos</t>
  </si>
  <si>
    <t>LICENÇA DE USO DE SOFTWARE VALORAE</t>
  </si>
  <si>
    <t>LOCAÇÃO DE IMÓVEL - MARINGÁ</t>
  </si>
  <si>
    <t>SUPORTE  MANUTENÇÃO ADAPTATIVA DO GMS</t>
  </si>
  <si>
    <t>LOCAÇÃO DE IMÓVEL  - RS.</t>
  </si>
  <si>
    <t>Obs</t>
  </si>
  <si>
    <t>Multa no valor de 03 (três) meses de aluguel atualizado, 
calculada proporcionalmente ao período de cumprimento do contrato</t>
  </si>
  <si>
    <t>SERV. DE OP. LOGÍSTICO PARA PA</t>
  </si>
  <si>
    <t xml:space="preserve">Sim </t>
  </si>
  <si>
    <t>SEGURO TRANSPORTE DE SUCATA DE COBRE</t>
  </si>
  <si>
    <t>FORNECIMENTO DE FERRAMENTAS E ACESSÓRIOS</t>
  </si>
  <si>
    <t>OUTSOURCING DE SUPORTE PARA SAP ABAP E PI</t>
  </si>
  <si>
    <t>Imediato</t>
  </si>
  <si>
    <t>6 c</t>
  </si>
  <si>
    <t>LOCAÇÃO DE IMÓVEL - VOLTA REDONDA / RJ.</t>
  </si>
  <si>
    <t>15.1.1</t>
  </si>
  <si>
    <t>CONSULTORIA FISCAL</t>
  </si>
  <si>
    <t>IMPLANTAÇÃO DE SERVIÇOS DE CYBERSEGURANÇA</t>
  </si>
  <si>
    <t>Compliance</t>
  </si>
  <si>
    <t>CANAL DE DENÚNCIAS</t>
  </si>
  <si>
    <t>STORAGE NA IBM CLOUD</t>
  </si>
  <si>
    <t>100% vincendas</t>
  </si>
  <si>
    <t>Penalidade de denuncia válida para Reserva de Instância. Na contratação, segundo Gestor, o item não seria demandado</t>
  </si>
  <si>
    <t>LOCAÇÃO DE IMÓVEL - BOA VISTA - RR</t>
  </si>
  <si>
    <t>Fiscal</t>
  </si>
  <si>
    <t>AUDITORIA CONTÁBIL</t>
  </si>
  <si>
    <t>FORNECIMENTO DE CRACHÁ</t>
  </si>
  <si>
    <t>BPO PARA ENVIO DAS OBRIGAÇÕES FISCAIS</t>
  </si>
  <si>
    <t>14.1.1</t>
  </si>
  <si>
    <t>Operações</t>
  </si>
  <si>
    <t>Wendell Maia</t>
  </si>
  <si>
    <t>LIMPEZA DE CAIXA SUBTERRANEA</t>
  </si>
  <si>
    <t>CURSOS DE GRADUAÇÃO EAD</t>
  </si>
  <si>
    <t>Parágrafo Primeiro: O(A) RESPONSÁVEL FINANCEIRO que rescindir o Contrato unilateralmente, após o início do curso, ficará sujeito ao pagamento proporcional de cancelamento, que será calculado 
em razão das disciplinas disponibilizados até a data do pedido de rescisão (cancelamento do curso).</t>
  </si>
  <si>
    <t>HIGIENIZAÇÃO E DESINFECÇÃO DE EPI E UNIFORME</t>
  </si>
  <si>
    <t>CONSULTORIA TRIBUTÁRIA</t>
  </si>
  <si>
    <t>PLATAFORMA DE AVALIAÇÃO DE DESEMPENHO</t>
  </si>
  <si>
    <t>Condições Gerais</t>
  </si>
  <si>
    <t>MANUTENÇÃO DE EQUIPAMENTO PR, SC</t>
  </si>
  <si>
    <t>IMPLANTAÇÃO E CONSULTORIA TAX ONE</t>
  </si>
  <si>
    <t>PLATAFORMA DE ASSINATURA ELETRÔNICA</t>
  </si>
  <si>
    <t>Independente do motivo da decisão os pagamentos deverão ser realizados.</t>
  </si>
  <si>
    <t>CHECK UP DE EXECUTIVOS</t>
  </si>
  <si>
    <t>LOCAÇÃO DE CAÇAMBA PR, SC, RS</t>
  </si>
  <si>
    <t>FORNECIMENTO E MANUTENÇÃO DE GERADORES</t>
  </si>
  <si>
    <t>SOFTWARE FISCAL DE GESTÃO TRIBUTÁRIA TAX ONE</t>
  </si>
  <si>
    <t>30% sobre os meses remanescentes</t>
  </si>
  <si>
    <t>SERVIÇO DE CLIMATIZAÇÃO – BASES RJ</t>
  </si>
  <si>
    <t>Financeiro</t>
  </si>
  <si>
    <t>ASSESSORIA PROTESTOS AÇÃO PREVENTIVA</t>
  </si>
  <si>
    <t xml:space="preserve">3.1. O presente Contrato poderá ser rescindido mediante o aviso prévio, por escrito, de no mínimo 30 (trinta) dias e desde que sejam pagos os débitos pendentes, caso houver. </t>
  </si>
  <si>
    <t>SERV. DE OP. LOGÍSTICO PARA BA</t>
  </si>
  <si>
    <t>Contratante: OI/Serede -ressalvada a hipótese de reestruturação societária dentro do mesmo grupo econômico.</t>
  </si>
  <si>
    <t>LIMPEZA DE CAIXA SUBTERRÂNEA RJ</t>
  </si>
  <si>
    <t>SERV. DE OP. LOGÍSTICO PARA PE</t>
  </si>
  <si>
    <t>SISTEMA DE GERENCIAMENTO DE ARMAZÉM SMARTGO</t>
  </si>
  <si>
    <t>SEGURO RISCOS OPERACIONAIS - CORPORATIVO</t>
  </si>
  <si>
    <t>Previsto na Cláusula de Cancelamento Parcial do Contrato: Em caso de cancelamento parcial solicitado pelo segurado, a seguradora reterá os emolumentos e o valor proporcional aos dias em que a cobertura esteve vigente, calculado pro-rata.</t>
  </si>
  <si>
    <t>PLATAFORMA ELETRÔNICA TRANSAÇÕES FINANCEIRAS</t>
  </si>
  <si>
    <t>SOFTWARE DE GESTÃO DE RELAÇÕES TRABALHISTAS</t>
  </si>
  <si>
    <t>Não permite cessão</t>
  </si>
  <si>
    <t>LOCAÇÃO DE IMÓVEL</t>
  </si>
  <si>
    <t>OBS</t>
  </si>
  <si>
    <t>Multa não compensatória equivalente a 3 (três) alugueres vigentes à época da rescisão, 
calculado proporcionalmente</t>
  </si>
  <si>
    <t>FORNECIMENTO DE GAS GLP PARA CE</t>
  </si>
  <si>
    <t>SEGURO RESPONSABILIDADE CIVIL - CORPORATIVO</t>
  </si>
  <si>
    <t>25, I</t>
  </si>
  <si>
    <t>Em caso de cancelamento pelo segurado, a seguradora reterá despesas, impostos e uma porcentagem do prêmio conforme a tabela de prazo curto (Item 12.6.3). Para prazos não previstos, será aplicado o percentual do prazo imediatamente inferior. Caso o seguro tenha duração diferente de um ano, a tabela será ajustada proporcionalmente.</t>
  </si>
  <si>
    <t>FORNECIMENTO DE GAS GLP P20 PARA CE</t>
  </si>
  <si>
    <t xml:space="preserve">CONDOMÍNIO BASE DE ANA CÂMARA </t>
  </si>
  <si>
    <t>PAGAMENTO CONDOMÍNIO</t>
  </si>
  <si>
    <t>SOFTWARE AUDIT COMMAND LANGUAGE</t>
  </si>
  <si>
    <t>14.1 A</t>
  </si>
  <si>
    <t>A multa fica vinculada ao prazo de permanência do serviço contratado</t>
  </si>
  <si>
    <t>sim</t>
  </si>
  <si>
    <t>FORNECIMENTO DE GAS GLP P20 PARA RS</t>
  </si>
  <si>
    <t>FORNECIMENTO DE GAS GLP PARA PR</t>
  </si>
  <si>
    <t>PROGRAMA DE CAPACITAÇÃO DE JOVEM APRENDIZ MA</t>
  </si>
  <si>
    <t>Gestão de redes sociais e canais digitais para relacionamento com consumidor através da plataforma Wiserchannel</t>
  </si>
  <si>
    <t>FORNECIMENTO DE GAS GLP P20 PARA PE</t>
  </si>
  <si>
    <t>LEILÃO E VENDA DE BENS</t>
  </si>
  <si>
    <t>LICENÇA DE USO DE SOFTWARE EM NUVEM</t>
  </si>
  <si>
    <t>12.7</t>
  </si>
  <si>
    <t>10.2</t>
  </si>
  <si>
    <t>RAFAEL SANTIAGO - ME</t>
  </si>
  <si>
    <t>DESCARTE SUCATA BA, PE, SE, AL</t>
  </si>
  <si>
    <t>8.2</t>
  </si>
  <si>
    <t>JONER SEBASTIÃO DE OLIVEIRA CAMARGO - ME</t>
  </si>
  <si>
    <t>DESCARTE SUCATA PR/RS/PI/MA/PB/AM/ RN/CE/PA/RR/AP</t>
  </si>
  <si>
    <t>REGATO MINÉRIOS LTDA</t>
  </si>
  <si>
    <t>DESCARTE SUCATA RJ</t>
  </si>
  <si>
    <t>J.S. DESENTUPIDORA INSTALACOES HIDRAULICA</t>
  </si>
  <si>
    <t>LIMPEZA DE CAIXA SUBTERRÂNEA RS</t>
  </si>
  <si>
    <t>11.1</t>
  </si>
  <si>
    <t>HEALTHINK INTEGRADORA DE SAUDE LTDA</t>
  </si>
  <si>
    <t>FAST ONE SISTEMAS TECNOLÓGICOS EIRELI</t>
  </si>
  <si>
    <t>MANUTENÇÃO DE CATRACA CE R RJ</t>
  </si>
  <si>
    <t>CSO SUPRIMENTOS CORPORATIVOS EIRELI</t>
  </si>
  <si>
    <t>FORNEC. MAT. ESCRIT. E LIMPEZA. NACIONAL</t>
  </si>
  <si>
    <t>GSR SERVICOS EM INFORMATICA LTDA</t>
  </si>
  <si>
    <t>Em Renovação</t>
  </si>
  <si>
    <t>Suporte e Manutenção MasterSaf</t>
  </si>
  <si>
    <t>Em emissão SAP</t>
  </si>
  <si>
    <t>FORNECIMENTO DE LINK MPLS</t>
  </si>
  <si>
    <t>Em Emissão</t>
  </si>
  <si>
    <t>CONTROLE DE FOLHA DE PONTO</t>
  </si>
  <si>
    <t>FELIPE VELASCO</t>
  </si>
  <si>
    <t>CONTRATO DE PATROCÍNIO</t>
  </si>
  <si>
    <t>ASSISTÊNCIA E INTERNAÇÃO DOMICILIAR ESPECIALIZADA</t>
  </si>
  <si>
    <t>DUO24HORAS LTDA</t>
  </si>
  <si>
    <t>HAPVIDA ASSISTÊNCIA MÉDICA S.A.</t>
  </si>
  <si>
    <t>VSG CONSULTORIA EMPRESAVIAL LTDA</t>
  </si>
  <si>
    <t>Vencido</t>
  </si>
  <si>
    <t>Implementação InfraCo</t>
  </si>
  <si>
    <t>TRUST ADVISOR C. EM T. I. LTDA</t>
  </si>
  <si>
    <t>Licença de Uso de Software InfraCo</t>
  </si>
  <si>
    <t>MRH GESTÃO DE ARQUIVOS E INFORMAÇÕES</t>
  </si>
  <si>
    <t>Arquivamento de Documento Físico</t>
  </si>
  <si>
    <t xml:space="preserve">Nº Contrato
SAP </t>
  </si>
  <si>
    <r>
      <rPr>
        <b/>
        <sz val="10"/>
        <color theme="1"/>
        <rFont val="Tahoma"/>
        <family val="2"/>
      </rPr>
      <t xml:space="preserve">Área Responsável: </t>
    </r>
    <r>
      <rPr>
        <sz val="10"/>
        <color theme="1"/>
        <rFont val="Tahoma"/>
        <family val="2"/>
      </rPr>
      <t>Suprimentos Serede - Gerente: Marcelo de Oliveira Santos - 21 - 98754-9966</t>
    </r>
  </si>
  <si>
    <t>TOTAL</t>
  </si>
  <si>
    <t>Motoboy</t>
  </si>
  <si>
    <t>SERVIÇOS DE INTELIGÊNCIA (Apuração de Ilícitos, Fraudes, Fiscalização e Acompanhamento de Serviço Externo )</t>
  </si>
  <si>
    <t>Patrocinio Projeto "Disconcertos"</t>
  </si>
  <si>
    <t>18m a partir da publicãção DORio (04/02/25)</t>
  </si>
  <si>
    <t>Patrocinio Projeto "O Baile Todo"</t>
  </si>
  <si>
    <t>18m a partir da publicãção DORio (12/12/24)</t>
  </si>
  <si>
    <t>Serviços de Gestão de Planos de Saúde</t>
  </si>
  <si>
    <t>Vale Transporte</t>
  </si>
  <si>
    <t>Vale Refeição</t>
  </si>
  <si>
    <t>Ticket Restaurante - VR/VA</t>
  </si>
  <si>
    <t>Seguro de Vida</t>
  </si>
  <si>
    <t>Cartão de Fundo Fixo</t>
  </si>
  <si>
    <t>Encerrar</t>
  </si>
  <si>
    <t>Incorporar</t>
  </si>
  <si>
    <t xml:space="preserve">Transferir o Contrato Serede para a Oi </t>
  </si>
  <si>
    <t>Escopo será absorvido pela Oi</t>
  </si>
  <si>
    <t>Contrato não necessita ser migrado para a Oi e deverá ser encerrado pela Serede</t>
  </si>
  <si>
    <t>O escopo passará a usar o Contrato da Oi e consequentemente o contrato da Serede deverá ser encerrado</t>
  </si>
  <si>
    <t>Observações</t>
  </si>
  <si>
    <t>Definição das 
Áreas de Negócio pós alinhamento com a Oi</t>
  </si>
  <si>
    <t>Ok</t>
  </si>
  <si>
    <t>Contrato Corporativo com a Oi</t>
  </si>
  <si>
    <t>TIM S.A</t>
  </si>
  <si>
    <t>Solução Direct Connect com AWS</t>
  </si>
  <si>
    <t>CNPJ</t>
  </si>
  <si>
    <t>NOTA</t>
  </si>
  <si>
    <t>ALELO S.A. - RH</t>
  </si>
  <si>
    <t>ALELO S.A. - FINANCEIRO</t>
  </si>
  <si>
    <t>TIM S/A</t>
  </si>
  <si>
    <t>75.055.772/0001-20</t>
  </si>
  <si>
    <t>87.158.507/0001-56</t>
  </si>
  <si>
    <t>26.845.377/0001-35</t>
  </si>
  <si>
    <t>02.421.421/0001-11</t>
  </si>
  <si>
    <t>02.303.114/0001-36</t>
  </si>
  <si>
    <t>18.030.901/0001-91</t>
  </si>
  <si>
    <t>ZUCCA PRODUÇÕES ARTÍSTICAS E CULTURAIS LTDA</t>
  </si>
  <si>
    <t>SHEILA GOMES DA SILVA</t>
  </si>
  <si>
    <t>36.737.202/0001-68</t>
  </si>
  <si>
    <t>Padrão Serede</t>
  </si>
  <si>
    <t>Corporativa</t>
  </si>
  <si>
    <t>METROPOLITAN LIFE SEGUROS E PREVIDÊNCIA PRIVADA S/A</t>
  </si>
  <si>
    <t>Empresa Construtora Ernesto Woebcke</t>
  </si>
  <si>
    <t>PONTES DISTRIBUIDORA DE MAQUINAS E</t>
  </si>
  <si>
    <t>JAFGAS COMERCIO DE GAS LTDA</t>
  </si>
  <si>
    <t>Oi S.A</t>
  </si>
  <si>
    <t>MICROPOWER COMERCIO E DESENVOLV</t>
  </si>
  <si>
    <t>SWISS RE CORPORATE SOLUTIONS BRASIL</t>
  </si>
  <si>
    <t>CMS INDUSTRIA E C. DE CONFECÇOES</t>
  </si>
  <si>
    <t>WALTRAUD LARSEN METTE</t>
  </si>
  <si>
    <t>KATIA REGINA LARSEN</t>
  </si>
  <si>
    <t>CARLOS SILVEIRA ROZA</t>
  </si>
  <si>
    <t>FRANCISCO ANTONIO DE SOUSA</t>
  </si>
  <si>
    <t>IOMAR SCHILLER WEIRICH</t>
  </si>
  <si>
    <t>CARLA DENISE LARSEN</t>
  </si>
  <si>
    <t>IVO JOSE WANDERLEY GALLDINO FILHO</t>
  </si>
  <si>
    <t>THOMSON REUTERS</t>
  </si>
  <si>
    <t>V.TAL - REDE NEUTRA DE TELECOMUNICA</t>
  </si>
  <si>
    <t>ALL PATRIMONIAL</t>
  </si>
  <si>
    <t xml:space="preserve">EMBRASIL </t>
  </si>
  <si>
    <t>Marvin Comercio de Exitintores LTDA</t>
  </si>
  <si>
    <t>Chubb Seguros Brasil S.A</t>
  </si>
  <si>
    <t>TICKET SOLUÇOES HDFGT S/A</t>
  </si>
  <si>
    <t>SERVIÇO NACIONAL DE APRENDIZAGEM</t>
  </si>
  <si>
    <t xml:space="preserve"> NEXXERA TECNOLOGIA E SERVIÇOS LTDA</t>
  </si>
  <si>
    <t>MAISATIVO INTERMEDIAÇÃO LTDA.</t>
  </si>
  <si>
    <t>BONANZA SANEAMENTO LTDA - EPP</t>
  </si>
  <si>
    <t>VALMAQ PRESTADORA DE SERVIÇOS LTDA</t>
  </si>
  <si>
    <t>Siteware Soluções S/A</t>
  </si>
  <si>
    <t>VITA ASSESSORIA EM SAÚDE LTDA.</t>
  </si>
  <si>
    <t>SATURNINO FERNANDES - ME</t>
  </si>
  <si>
    <t>BRULAIDE COMERCIO E SERVICOS LTDA</t>
  </si>
  <si>
    <t>PROTEMAXI SEGURANCA PATRIMONIAL</t>
  </si>
  <si>
    <t>PATACAS ADMINISTRADORA DE BENS IMÓ</t>
  </si>
  <si>
    <t>TPV INOVA SOLUÇÕES EM INFORMÁTICA S</t>
  </si>
  <si>
    <t>PLANTECH TECNOLOGIA LTDA</t>
  </si>
  <si>
    <t>CALL-PHONE TELEF. ELET. E INF. LTDA</t>
  </si>
  <si>
    <t>Docusign B. S. em Teclonogia LTDA</t>
  </si>
  <si>
    <t>ACESSO DIGITAL TECNOLOGIA</t>
  </si>
  <si>
    <t>TRANSEGURTEC TECNOLOGIA</t>
  </si>
  <si>
    <t>LOCADORA GRILLO E RIBEIRO LTDA</t>
  </si>
  <si>
    <t>SETA DESENVOLVIMENTO GERENCIAL LTDA</t>
  </si>
  <si>
    <t>Instituto Euvaldo Lodi</t>
  </si>
  <si>
    <t>TAQUION SISTEMAS MOVEIS LTDA</t>
  </si>
  <si>
    <t>SIMPRESS C. L. E SERVICOS LTDA</t>
  </si>
  <si>
    <t>SANTOS TAVARES DADOS E INFORMACOES</t>
  </si>
  <si>
    <t>LOC FAMA LTDA</t>
  </si>
  <si>
    <t>J &amp; G CONSTRUCOES LTDA</t>
  </si>
  <si>
    <t>ABSOLUTA DIGITALIZAÇÃO E GUARDA DE</t>
  </si>
  <si>
    <t>COSTA GAS LTDA -ME</t>
  </si>
  <si>
    <t>SONDA PROCWORK INFORMATICA LTDA</t>
  </si>
  <si>
    <t>PTLS SERVIÇOS DE TECNOLOGIA E ASSES</t>
  </si>
  <si>
    <t>INDUSTRIAL SCIENTIFIC CORPORATION</t>
  </si>
  <si>
    <t>MAGALHAES C. E DIST. DE GAS LTDA</t>
  </si>
  <si>
    <t>BATTU &amp; BATTU TRASPORTES LTDA</t>
  </si>
  <si>
    <t>FLAVIO RAMOS DOS SANTOS</t>
  </si>
  <si>
    <t>PACER LOGISTICA S.A</t>
  </si>
  <si>
    <t>JONER SEBASTIAO DE OLIVEIRA CAMARGO</t>
  </si>
  <si>
    <t>Seidor Proj. Serv. do Brasil Consul</t>
  </si>
  <si>
    <t>RIMINI STREET BRAZIL SERVICOS</t>
  </si>
  <si>
    <t>T2C CARGO TRANSPORTES EIRELL</t>
  </si>
  <si>
    <t>RIO &amp; MONDIAL COMERCIAL E SERVIÇOS</t>
  </si>
  <si>
    <t>CLIMA FRIO REFRIGERAÇÃO LTDA.-ME</t>
  </si>
  <si>
    <t>MATRIX IND. E COM. DE CONDUTORES EL</t>
  </si>
  <si>
    <t>Qulture Informática S.A</t>
  </si>
  <si>
    <t>THL SOLUCOES EM TECNOLOGIA LTDA</t>
  </si>
  <si>
    <t>MUNDO LINHA VIVA E EQUIPAMENTOS DE</t>
  </si>
  <si>
    <t>MOVIDA PARTICIPACOES S.A</t>
  </si>
  <si>
    <t>Gás América Per. E Ser. De Const.</t>
  </si>
  <si>
    <t>SINTESE INDUSTRIA E COMERCIO LTDA</t>
  </si>
  <si>
    <t>LIDER SERVIÇOS GERAIS LTDA</t>
  </si>
  <si>
    <t xml:space="preserve"> LIDER SERVIÇOS GERAIS LTDA</t>
  </si>
  <si>
    <t>VAMOS LOCAÇÃO DE CAMINHÕES MAQUINAS</t>
  </si>
  <si>
    <t xml:space="preserve"> GUPY TECNOLOGIA</t>
  </si>
  <si>
    <t>UNYEAD EDUCACIONAL S.A.</t>
  </si>
  <si>
    <t>KADIMA INTELIGENCE LTDA</t>
  </si>
  <si>
    <t>TGS RIO MATERIAL</t>
  </si>
  <si>
    <t>PAULO ALMEIDA TRANSPORTES</t>
  </si>
  <si>
    <t>DCAS SERVIÇOS LTDA</t>
  </si>
  <si>
    <t>REINTEGRA SERVICOS DE LOGISTICA</t>
  </si>
  <si>
    <t>RONALDO CAVALCANTI DE</t>
  </si>
  <si>
    <t>RIO SHOP S. TERCEIRIZADOS LTDA</t>
  </si>
  <si>
    <t>DIAZ ENTULHO E COLETA</t>
  </si>
  <si>
    <t>SLV COMERCIO</t>
  </si>
  <si>
    <t>TEAMSOFT TECNOLOGIA E SISTEMAS LTDA</t>
  </si>
  <si>
    <t>MPS Edificações &amp; Design de I. LTDA</t>
  </si>
  <si>
    <t>DISTRIBUDORA DE BEBIDAS GLP SATURNI</t>
  </si>
  <si>
    <t>DUAL SAUDE INTEGRADA LTDA</t>
  </si>
  <si>
    <t>TRANSEGUR VIGILANCIA E SEGURANÇA LT</t>
  </si>
  <si>
    <t>EZZE SEGUROS S.A</t>
  </si>
  <si>
    <t>WISER TECNOLOGIA</t>
  </si>
  <si>
    <t>SMARTGO SISTEMAS DE GESTAO ONLINE L</t>
  </si>
  <si>
    <t>AVIPAM TURISMO E TECNOLOGIA LTDA</t>
  </si>
  <si>
    <t>GRUPO PROTECX SERVICOS LTDA</t>
  </si>
  <si>
    <t>PETROENERGY COMERCIO E REPRESENTACA</t>
  </si>
  <si>
    <t>EMPRESA BRASILEIRA DE CORREIOS E TE</t>
  </si>
  <si>
    <t>Positive Safety Vigilância e Segura</t>
  </si>
  <si>
    <t>RICARDO ABRAO ALMEIRA</t>
  </si>
  <si>
    <t>Quality Software S/A</t>
  </si>
  <si>
    <t>EXITO. LOG LOGISTICA LTDA</t>
  </si>
  <si>
    <t>GAIA, SILVA, GAEDE &amp; ASSOCIADOS</t>
  </si>
  <si>
    <t>A G TRANSPORTE LTDA</t>
  </si>
  <si>
    <t>C A R MIRANDA ELETROMECANICA DE GER</t>
  </si>
  <si>
    <t>IPSUM EMPREENDIMENTOS E CONSULTORIA</t>
  </si>
  <si>
    <t>BIZZICIMADA COLETA</t>
  </si>
  <si>
    <t>ANA SOLUCOES COMPUTACIONAIS LTDA</t>
  </si>
  <si>
    <t>APTISERV TERCEIRIZACAO E SERVICOS</t>
  </si>
  <si>
    <t>APATEL TELECOM. INDUSTRIA E COMERCI</t>
  </si>
  <si>
    <t>ABRILSAN ASSESSORIA EM CARTORIOS DE</t>
  </si>
  <si>
    <t>PORTO SEGURO COMPANHIA DE SEGUROS G</t>
  </si>
  <si>
    <t>INDUSTRIA E COMERCIO LEAL LTDA</t>
  </si>
  <si>
    <t>FEDEX BRASIL LOGISTICA E TRANSPORTE</t>
  </si>
  <si>
    <t>FEDEX BRASIL LOGISTICA E</t>
  </si>
  <si>
    <t>UBER DO BRASIL TECNOLOGIA LTDA</t>
  </si>
  <si>
    <t>MAXDEL ADMINISTRADORA DE IMÓVEIS E</t>
  </si>
  <si>
    <t>MARMER MANUTENÇÃO</t>
  </si>
  <si>
    <t>Amazon AWS Serviços Brasil Ltda</t>
  </si>
  <si>
    <t>SMARTDOCX TECNOLOGIA DA INFORMATICA</t>
  </si>
  <si>
    <t>GRTS DIGITAL SISTEMAS E CONSULTORIA</t>
  </si>
  <si>
    <t>Adecco Recursos Humanos S.A.</t>
  </si>
  <si>
    <t>LEGALMIND PROJETOS E CONSULTORIA LT</t>
  </si>
  <si>
    <t>PRICEWATERHOUSECOOPERS A.I LTDA</t>
  </si>
  <si>
    <t>O Contrato será mantido para o ciclo de gestão 2025 e encerrado no início de 2026</t>
  </si>
  <si>
    <t>Não renovar após témino da vigência do contrato</t>
  </si>
  <si>
    <t>Ger. Remun., Planej. E Gestão</t>
  </si>
  <si>
    <t>a Oi não tem contrato deste escopo e não tem esses fornecedores</t>
  </si>
  <si>
    <t>Tem outro fornecedores de frete, avaliar melhor condições dos demais</t>
  </si>
  <si>
    <t>A Oi aditivou recentemente a Serede no contrato guarda chuva</t>
  </si>
  <si>
    <t>a Oi tem contrato deste fornecedor - avaliar melhor LPU</t>
  </si>
  <si>
    <t>Serede/Oi vai prestar para a ClientCO - Reversa</t>
  </si>
  <si>
    <t>Vencimento antes do incorporação / Oi tem fornecedores de descarte que já nos atende</t>
  </si>
  <si>
    <t xml:space="preserve">Celia Carla </t>
  </si>
  <si>
    <t xml:space="preserve">Oi não irá seguir com o contrato </t>
  </si>
  <si>
    <t xml:space="preserve">nova incorporação OI - ACP </t>
  </si>
  <si>
    <t>nova incorporação OI</t>
  </si>
  <si>
    <t>BGC BRASIL ASSESSORIA LTDA</t>
  </si>
  <si>
    <t>ETALENT (DISC)</t>
  </si>
  <si>
    <t>EGALITÊ RECURSOS HUMANOS</t>
  </si>
  <si>
    <t>ABRH</t>
  </si>
  <si>
    <t>12 Meses a partir da assinatura</t>
  </si>
  <si>
    <t xml:space="preserve">PLATAFORMA SOLUÇÕES TECNOLÓGICAS PARA CHECAGEM CRIMINAL DE PESSOAS FÍSICAS </t>
  </si>
  <si>
    <t>PLATAFORMA QUE AUXILIA NO MAPEAMENTO DE PERFIL DOS GESTORES</t>
  </si>
  <si>
    <t>FEIRA ANUAL ATRAÇÃO E SELEÇÃO CANDIDATOS PcD</t>
  </si>
  <si>
    <t>DESENVOLVIMENTO DA LIDERANÇA</t>
  </si>
  <si>
    <t>Ricardo Pedro</t>
  </si>
  <si>
    <t>Emília Borges</t>
  </si>
  <si>
    <t>UCHOA VIANNA ADVOGADOS ASSOCIADOS</t>
  </si>
  <si>
    <t>Até o cumprimento das obrigações </t>
  </si>
  <si>
    <t>Indeterminado</t>
  </si>
  <si>
    <t>SEGURO DE CONTRAGARANTIA </t>
  </si>
  <si>
    <t>SERVIÇOS DE PUBLICAÇÕES NO D.O.</t>
  </si>
  <si>
    <t>Irá avaliar com Patrimonio Oi, pois tem outras areas envolvidas</t>
  </si>
  <si>
    <t>Area de Patrimonio que é responsavel</t>
  </si>
  <si>
    <t>Avaliar se irá unificar</t>
  </si>
  <si>
    <t>Sem custo. Atendimento BR</t>
  </si>
  <si>
    <t>Sem custo. Somente no RJ/ Area de Saúde</t>
  </si>
  <si>
    <t>A MasterVig atende nacionalmente</t>
  </si>
  <si>
    <t>Atendimento a determinação judicial de prestar atendimento home care</t>
  </si>
  <si>
    <t>Consta em acordo coletivo a oferta de telemedicina</t>
  </si>
  <si>
    <t>SUL AMERICA ODONTO</t>
  </si>
  <si>
    <t>Sinttel RS</t>
  </si>
  <si>
    <t>é um Hub de benefícios para o colaborador, com plataforma de descontos</t>
  </si>
  <si>
    <t>Serviço de odonto</t>
  </si>
  <si>
    <t>Serviço de fornecimento VT</t>
  </si>
  <si>
    <t>Fornecimento de plano de saúde no Rio Grande do Sul</t>
  </si>
  <si>
    <t>Fornecimento de plano de saúde em Santa Catarina</t>
  </si>
  <si>
    <t>Marcus Vinicius Moraes</t>
  </si>
  <si>
    <t xml:space="preserve">Lino respondeu que será incorporado a Oi. Validar. </t>
  </si>
  <si>
    <t>NETWORK SECURE S. DA INFORMAÇÃO</t>
  </si>
  <si>
    <t>Pipefy Inc</t>
  </si>
  <si>
    <t>XSOLUTIONS COMERCIAL DE INFORMATICA</t>
  </si>
  <si>
    <t>VONIX TECNOLOGIA LTDA</t>
  </si>
  <si>
    <t>WIX</t>
  </si>
  <si>
    <t>Até a devolução dos equipamentos</t>
  </si>
  <si>
    <t>Solução WAF em nuvem</t>
  </si>
  <si>
    <t xml:space="preserve">Locação de equipamentos </t>
  </si>
  <si>
    <t>Plataforma CRM</t>
  </si>
  <si>
    <t>Sistema Atende Chamados</t>
  </si>
  <si>
    <t>Ramais de Call Center</t>
  </si>
  <si>
    <t>Plataforma Suporta relpi.me</t>
  </si>
  <si>
    <t>FRETE</t>
  </si>
  <si>
    <t>SEGURANÇA</t>
  </si>
  <si>
    <t>OPERADOR LOGÍSTICO</t>
  </si>
  <si>
    <t>LOCAÇÃO EQUIP</t>
  </si>
  <si>
    <t>Empresa faz escolta com policiais</t>
  </si>
  <si>
    <t>Serviço passou para empresa DCAS</t>
  </si>
  <si>
    <t>SERVIÇOS DE PORTARIA Regional Sul (PR/SC/RS)</t>
  </si>
  <si>
    <t>LOCAÇÃO VEÍCULOS UTILITARIOS</t>
  </si>
  <si>
    <t>SERVIÇOS DE LIMPEZA NO NE SP</t>
  </si>
  <si>
    <t>Serviços de Limpeza para Prédios administrativos no RJ</t>
  </si>
  <si>
    <t>SERVIÇOS DE PORTARIA - BA</t>
  </si>
  <si>
    <t>SERVIÇOS DE ESCOLTA ARMADA SOB DEMANDA SOB DEMANDA NÃO IMPLANTADO NO RJ</t>
  </si>
  <si>
    <t>Serviço de Vigilancia Armada - Não implantada RJ</t>
  </si>
  <si>
    <t>Serviços Terceirizados de Manutenção NO</t>
  </si>
  <si>
    <t>Serviços Terceirizados de Manutenção Corretiva em Prédios e Estações RJ</t>
  </si>
  <si>
    <t>Serviços Terceirizados de Manutenção SUL</t>
  </si>
  <si>
    <t xml:space="preserve"> Manutenção Corretiva em Prédios e Estações AM, AP, RR</t>
  </si>
  <si>
    <t>Serviços Terceirizados de Manutenção SP</t>
  </si>
  <si>
    <t>Serviços Terceirizados de Manutenção Corretiva em Prédios e Estações GOIAS</t>
  </si>
  <si>
    <t>Serviços de Locação, Coleta e Transporte de caçamba RJ (REGIÃO METROPOLITANA)</t>
  </si>
  <si>
    <t xml:space="preserve"> Serviços Terceirizados de Manutenção PA</t>
  </si>
  <si>
    <t>Locação de Caçamba de lixo NITERÓI</t>
  </si>
  <si>
    <t>RECARGA DE EXTINTORES RJ</t>
  </si>
  <si>
    <t>Serviços Sob Demanda de Locação, Coleta BA E SE</t>
  </si>
  <si>
    <t>Serviços Terceirizados de Manutenção Corretiva em Prédios e Estações AP , AM, RR</t>
  </si>
  <si>
    <t>SERVIÇOS DE MANUTENÇÃO PREDIAL PA</t>
  </si>
  <si>
    <t>Validação SEREDE</t>
  </si>
  <si>
    <t>Acordo Coletivo (nova incorporação OI - ACT RS)</t>
  </si>
  <si>
    <t>PCD online (nova incorporação OI)</t>
  </si>
  <si>
    <t>Entender escopo do patrocinio na Oi  (área) (nova incorporação OI - ACP )</t>
  </si>
  <si>
    <t>Aditar mantendo ativo na SEREDE até a data de incorporação e depois será ampliado ao contrato Oi</t>
  </si>
  <si>
    <t>FROTA</t>
  </si>
  <si>
    <t>SERV. ADVOCATÍCIOS</t>
  </si>
  <si>
    <t>SAÚDE</t>
  </si>
  <si>
    <t>LOCAÇÃO IMÓVEL</t>
  </si>
  <si>
    <t>SEGURO</t>
  </si>
  <si>
    <t>PATROCÍNIO</t>
  </si>
  <si>
    <t>MANUTENÇÃO PREDIAL</t>
  </si>
  <si>
    <t>BENEFÍCIO</t>
  </si>
  <si>
    <t>PORTARIA</t>
  </si>
  <si>
    <t>CONSULTORIA</t>
  </si>
  <si>
    <t>SUCATA</t>
  </si>
  <si>
    <t>MANUTENÇÃO EQUIP.</t>
  </si>
  <si>
    <t>GÁS PARA EMPILHADEIRA</t>
  </si>
  <si>
    <t>LOCAÇÃO DE IMÓVEL - MACAPÁ</t>
  </si>
  <si>
    <t>Categoria</t>
  </si>
  <si>
    <t>Em alinhamento</t>
  </si>
  <si>
    <t>Em alinhamento entre as áreas Serede x Oi</t>
  </si>
  <si>
    <t>Aguarda definição da Oi</t>
  </si>
  <si>
    <t>Contagem de AÇÃO</t>
  </si>
  <si>
    <t>Rótulos de Linha</t>
  </si>
  <si>
    <t>Total Geral</t>
  </si>
  <si>
    <t>MAT. E.P.I.</t>
  </si>
  <si>
    <t>ATIVO IMOBILIZADO</t>
  </si>
  <si>
    <t>FARDAMENTO</t>
  </si>
  <si>
    <t>TREINAMENTO COLABORADORES</t>
  </si>
  <si>
    <t>FERRAMENTAS E ACESSÓRIOS</t>
  </si>
  <si>
    <t>Quantidade de Contratos Apurados por Área:</t>
  </si>
  <si>
    <t xml:space="preserve">Unificar os contratos ampliando o escopo do número de acessos </t>
  </si>
  <si>
    <t>INCLUÍDO PELA ÁREA</t>
  </si>
  <si>
    <t>23.211.179/0001-21</t>
  </si>
  <si>
    <t>INCLUÍDO PELA ÁREA. CONTRATO ENVIADO PELA ÁREA</t>
  </si>
  <si>
    <t>08.689.801/0001-18</t>
  </si>
  <si>
    <t>AMORIM, MARINHO E MACHADO ADVOGADOS</t>
  </si>
  <si>
    <t>16.906.283/0001-75</t>
  </si>
  <si>
    <t>ALERTE - AUTOMATIZAÇÃO DE LEITURA E RECORTES DE DIÁRIOS OFICIAIS LTDA</t>
  </si>
  <si>
    <t>BRITTO E BRITTO ADVOGADOS ASSOCIADOS</t>
  </si>
  <si>
    <t>08.542.708/0001-86</t>
  </si>
  <si>
    <t>CARRIÇO, CORREA E MASCARENHAS ADVOGADOS ASSOCIADOS</t>
  </si>
  <si>
    <t>CASANOVA RIBEIRO ADVOCACIA S/C</t>
  </si>
  <si>
    <t>ESSOR SEGUROS S.A.</t>
  </si>
  <si>
    <t>HERMANN ADVOGADOS ASSOCIADOS</t>
  </si>
  <si>
    <t>GRUPO HOSPITALAR DO RIO DE JANEIRO - ASSIM SAÚDE</t>
  </si>
  <si>
    <t>CONTRATO ENVIADO PELA ÁREA</t>
  </si>
  <si>
    <t>UNIMED SANTA CATARINA</t>
  </si>
  <si>
    <t>MEX BENEFÍCIOS LTDA (MASTERVIG)</t>
  </si>
  <si>
    <t>RD BRASIL INTERMEDIAÇÕES LTDA (RAPIDOC)</t>
  </si>
  <si>
    <t>LICENÇA/SOFTWARE/SITE/PLATAFORMA</t>
  </si>
  <si>
    <t>SERVIÇOS DIVERSOS</t>
  </si>
  <si>
    <t>Utilizar o contrato serede na Oi</t>
  </si>
  <si>
    <t>Aguardar time Oi</t>
  </si>
  <si>
    <t>VIRX (Ronaldo Cavalcanti)</t>
  </si>
  <si>
    <t>Solução de e-mail para os técnicos e suporte Linux</t>
  </si>
  <si>
    <t>SUPORTE A PLATAFORMA MOTION</t>
  </si>
  <si>
    <t>Depende se iremos continuar com o Relpi.me</t>
  </si>
  <si>
    <t>PLATAFORMA</t>
  </si>
  <si>
    <t>REDE DE DADOS</t>
  </si>
  <si>
    <t>NUVEM</t>
  </si>
  <si>
    <t>Oi irá utilizar o próprio SAP</t>
  </si>
  <si>
    <t>LINK DE INTERNET GO</t>
  </si>
  <si>
    <t>VOZ</t>
  </si>
  <si>
    <t>E1´s (DIGITRONCO)</t>
  </si>
  <si>
    <t>Wilson (Novos Negócios)</t>
  </si>
  <si>
    <t>Tharcia Leite (Fiscal)</t>
  </si>
  <si>
    <t>SUPORTE</t>
  </si>
  <si>
    <t>SERVIÇOS ADVOCATÍCIOS RJ</t>
  </si>
  <si>
    <t>TREINAMENTO</t>
  </si>
  <si>
    <t>Celia Carla/Ricardo</t>
  </si>
  <si>
    <t>CONSULTORIA PCD</t>
  </si>
  <si>
    <t>CONSULTORIA PCD - ACP</t>
  </si>
  <si>
    <t>CURSO</t>
  </si>
  <si>
    <t>CURSO TÉCNICO DE TELECOMUNICAÇÕES EAD - ACORDO COLETIVO</t>
  </si>
  <si>
    <t>CURSO EAD PCD</t>
  </si>
  <si>
    <t>PROGRAMA JOVEM APRENDIZ</t>
  </si>
  <si>
    <t>Aguardar definição final</t>
  </si>
  <si>
    <t>TELEMEDICINA RS</t>
  </si>
  <si>
    <t>PREST. SERVIÇOS DE TELEMEDICINA NACIONAL</t>
  </si>
  <si>
    <t>ENVIO DE CORRESPODÊNCIAS</t>
  </si>
  <si>
    <t>Edmilson Oliveira</t>
  </si>
  <si>
    <t>Suprimentos alinhou com operações da Oi (André Alvim) e Operações Serede (Wendell Maia)</t>
  </si>
  <si>
    <t>ICTS GLOBAL DO BRASIL LTDA (Aliant)</t>
  </si>
  <si>
    <t>Utilizar até data de vecimento</t>
  </si>
  <si>
    <t>PC Financ.</t>
  </si>
  <si>
    <t>HOMEMEDICAL ASSISTÊNCIA DOMICILIAR (PLURAL CARE) MEDSENSOR CURITIBA</t>
  </si>
  <si>
    <t>LG INFORMÁTICA S.A</t>
  </si>
  <si>
    <t>Contrato em emissão</t>
  </si>
  <si>
    <t>INCLUÍDO PELA ÁREA. Contrato em emissão</t>
  </si>
  <si>
    <t>3º aditivo em renovação</t>
  </si>
  <si>
    <t>Quando?</t>
  </si>
  <si>
    <t>Oi SOLUÇÕES</t>
  </si>
  <si>
    <t>Oi SOLUCOES S/A</t>
  </si>
  <si>
    <t xml:space="preserve">INCLUÍDO PELA ÁREA. </t>
  </si>
  <si>
    <t>10.766.388/0001-90</t>
  </si>
  <si>
    <t>INCLUÍDO PELA ÁREA. CORPORATIVO</t>
  </si>
  <si>
    <t>Aguardando envio pelo Jurídico</t>
  </si>
  <si>
    <t>BEN.UP SOLUÇÕES E CORRETORA DE SEGUROS LTDA (sem custo)</t>
  </si>
  <si>
    <t>INCLUÍDO PELA ÁREA.</t>
  </si>
  <si>
    <t>Corporativo</t>
  </si>
  <si>
    <t>Contagem de Área SEREDE</t>
  </si>
  <si>
    <t>Causa de Extinção Empresa em RJ</t>
  </si>
  <si>
    <t>Anuência para Alteração Societária</t>
  </si>
  <si>
    <t>Prazo para Informar Alteração Societária</t>
  </si>
  <si>
    <t>Marcelo confirmar se todos encerram antes da incorporação - até 26/03</t>
  </si>
  <si>
    <t>Atualizar até 28/03</t>
  </si>
  <si>
    <t>Contratos Benefícios</t>
  </si>
  <si>
    <t>será necessário emitir as novos números de carteririnhas</t>
  </si>
  <si>
    <t>Contrato BPO Accenture (Folha)</t>
  </si>
  <si>
    <t>1 - Alinhar antecipadamente com fornecedor a incorporação de 01/julho
2 - Proposta incluir Serede no contrato e já trazer as vidas da Serede para cá</t>
  </si>
  <si>
    <t>Necessário Antecipar conversa com Fornecedor?</t>
  </si>
  <si>
    <t>Avaliar</t>
  </si>
  <si>
    <t>Definir quem vai puxar as conversas - Oi ou Serede. Proposta é ser a Serede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</si>
</sst>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&quot; &quot;00&quot;.&quot;000&quot;.&quot;000&quot;/&quot;0000\-00"/>
    <numFmt numFmtId="165" formatCode="&quot; &quot;000&quot;.&quot;000&quot;.&quot;000&quot;-&quot;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b/>
      <sz val="12"/>
      <color theme="8" tint="-0.249977111117893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rgb="FF1F497D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2" fillId="5" borderId="0" xfId="0" applyFont="1" applyFill="1"/>
    <xf numFmtId="0" fontId="12" fillId="5" borderId="0" xfId="0" applyFont="1" applyFill="1" applyAlignment="1">
      <alignment horizontal="left"/>
    </xf>
    <xf numFmtId="0" fontId="12" fillId="0" borderId="0" xfId="0" applyFont="1"/>
    <xf numFmtId="0" fontId="12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2" fillId="6" borderId="0" xfId="0" applyFont="1" applyFill="1"/>
    <xf numFmtId="0" fontId="13" fillId="5" borderId="0" xfId="0" applyFont="1" applyFill="1"/>
    <xf numFmtId="0" fontId="8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12" fillId="8" borderId="0" xfId="0" applyFont="1" applyFill="1"/>
    <xf numFmtId="0" fontId="15" fillId="0" borderId="0" xfId="0" applyFont="1" applyAlignment="1">
      <alignment vertical="center" wrapText="1"/>
    </xf>
    <xf numFmtId="0" fontId="0" fillId="0" borderId="13" xfId="0" applyBorder="1" applyAlignment="1">
      <alignment vertical="center" wrapText="1"/>
    </xf>
    <xf numFmtId="0" fontId="13" fillId="8" borderId="0" xfId="0" applyFont="1" applyFill="1"/>
    <xf numFmtId="0" fontId="1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top" wrapText="1"/>
    </xf>
    <xf numFmtId="0" fontId="17" fillId="8" borderId="0" xfId="0" applyFont="1" applyFill="1" applyAlignment="1">
      <alignment wrapText="1"/>
    </xf>
    <xf numFmtId="0" fontId="12" fillId="8" borderId="0" xfId="0" applyFont="1" applyFill="1" applyAlignment="1">
      <alignment horizontal="left"/>
    </xf>
    <xf numFmtId="0" fontId="18" fillId="8" borderId="0" xfId="0" applyFont="1" applyFill="1" applyAlignment="1">
      <alignment horizontal="center"/>
    </xf>
    <xf numFmtId="0" fontId="0" fillId="8" borderId="0" xfId="0" applyFill="1"/>
    <xf numFmtId="0" fontId="14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/>
    </xf>
    <xf numFmtId="0" fontId="20" fillId="0" borderId="0" xfId="0" applyFont="1"/>
    <xf numFmtId="0" fontId="10" fillId="2" borderId="1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3" fontId="3" fillId="0" borderId="15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14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9" fontId="0" fillId="0" borderId="15" xfId="0" applyNumberForma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/>
    </xf>
    <xf numFmtId="0" fontId="22" fillId="0" borderId="15" xfId="0" applyFont="1" applyBorder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 wrapText="1"/>
    </xf>
    <xf numFmtId="164" fontId="10" fillId="2" borderId="14" xfId="0" applyNumberFormat="1" applyFont="1" applyFill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15" xfId="1" applyNumberFormat="1" applyFont="1" applyBorder="1" applyAlignment="1">
      <alignment horizontal="center"/>
    </xf>
    <xf numFmtId="165" fontId="0" fillId="0" borderId="15" xfId="0" applyNumberForma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0" fillId="0" borderId="15" xfId="0" applyFill="1" applyBorder="1" applyAlignment="1">
      <alignment horizontal="center" vertical="center" wrapText="1"/>
    </xf>
    <xf numFmtId="0" fontId="3" fillId="0" borderId="15" xfId="1" applyNumberFormat="1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164" fontId="23" fillId="2" borderId="14" xfId="0" applyNumberFormat="1" applyFont="1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0" borderId="15" xfId="0" applyFont="1" applyFill="1" applyBorder="1" applyAlignment="1">
      <alignment horizontal="center" vertical="center" wrapText="1"/>
    </xf>
    <xf numFmtId="164" fontId="0" fillId="0" borderId="15" xfId="0" applyNumberFormat="1" applyFill="1" applyBorder="1" applyAlignment="1">
      <alignment horizontal="center" vertical="center" wrapText="1"/>
    </xf>
    <xf numFmtId="14" fontId="3" fillId="0" borderId="15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left" vertical="center" wrapText="1"/>
    </xf>
    <xf numFmtId="9" fontId="0" fillId="0" borderId="15" xfId="0" applyNumberForma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vertical="center" wrapText="1"/>
    </xf>
    <xf numFmtId="164" fontId="2" fillId="2" borderId="5" xfId="0" applyNumberFormat="1" applyFont="1" applyFill="1" applyBorder="1" applyAlignment="1">
      <alignment horizontal="center" wrapText="1"/>
    </xf>
    <xf numFmtId="164" fontId="24" fillId="2" borderId="5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0" fillId="0" borderId="0" xfId="0" applyFont="1" applyAlignment="1">
      <alignment horizontal="center" vertical="center" wrapText="1"/>
    </xf>
    <xf numFmtId="0" fontId="2" fillId="6" borderId="5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left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43" fontId="4" fillId="0" borderId="15" xfId="1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12" borderId="0" xfId="0" applyFont="1" applyFill="1" applyBorder="1" applyAlignment="1">
      <alignment horizontal="left" vertical="center"/>
    </xf>
    <xf numFmtId="0" fontId="25" fillId="0" borderId="0" xfId="0" applyFont="1"/>
    <xf numFmtId="0" fontId="26" fillId="0" borderId="0" xfId="0" applyFont="1" applyAlignment="1">
      <alignment horizontal="left" vertical="center" wrapText="1"/>
    </xf>
    <xf numFmtId="1" fontId="0" fillId="0" borderId="15" xfId="1" applyNumberFormat="1" applyFont="1" applyBorder="1" applyAlignment="1">
      <alignment horizontal="center" vertical="center" wrapText="1"/>
    </xf>
    <xf numFmtId="164" fontId="22" fillId="0" borderId="15" xfId="0" applyNumberFormat="1" applyFont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0" fontId="4" fillId="0" borderId="15" xfId="0" quotePrefix="1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17" fontId="0" fillId="0" borderId="15" xfId="0" applyNumberForma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top" wrapText="1"/>
    </xf>
    <xf numFmtId="43" fontId="4" fillId="0" borderId="0" xfId="1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wrapText="1"/>
    </xf>
    <xf numFmtId="0" fontId="27" fillId="8" borderId="0" xfId="0" applyFont="1" applyFill="1"/>
    <xf numFmtId="0" fontId="0" fillId="13" borderId="0" xfId="0" applyFill="1" applyAlignment="1">
      <alignment horizontal="left"/>
    </xf>
    <xf numFmtId="0" fontId="0" fillId="13" borderId="0" xfId="0" applyNumberFormat="1" applyFill="1"/>
    <xf numFmtId="0" fontId="0" fillId="8" borderId="0" xfId="0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9" borderId="0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15" borderId="0" xfId="0" applyFill="1" applyAlignment="1">
      <alignment vertical="center"/>
    </xf>
    <xf numFmtId="0" fontId="7" fillId="15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39">
    <dxf>
      <fill>
        <patternFill>
          <bgColor rgb="FFFFF7E1"/>
        </patternFill>
      </fill>
    </dxf>
    <dxf>
      <fill>
        <patternFill>
          <bgColor rgb="FFFFF7E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F7E1"/>
        </patternFill>
      </fill>
    </dxf>
    <dxf>
      <fill>
        <patternFill>
          <bgColor rgb="FFFFF7E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F7E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de Contratos_Serede 06-mar-25 vs6 - enviado para Oi update.xlsx]Resumo!Tabela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038390810209507E-2"/>
              <c:y val="-7.2035109831999539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105348559334211E-2"/>
              <c:y val="-3.6196626139847699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37198081300147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594203484291567E-3"/>
              <c:y val="-1.75257746185384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684170305870995"/>
          <c:y val="6.7129852615354979E-2"/>
          <c:w val="0.30371244915851159"/>
          <c:h val="0.92931930180030875"/>
        </c:manualLayout>
      </c:layout>
      <c:doughnutChart>
        <c:varyColors val="1"/>
        <c:ser>
          <c:idx val="0"/>
          <c:order val="0"/>
          <c:tx>
            <c:strRef>
              <c:f>Resumo!$C$51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B5-4E6A-A309-C954404DD1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DB5-4E6A-A309-C954404DD1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DB5-4E6A-A309-C954404DD1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B5-4E6A-A309-C954404DD1D7}"/>
              </c:ext>
            </c:extLst>
          </c:dPt>
          <c:dLbls>
            <c:dLbl>
              <c:idx val="2"/>
              <c:layout>
                <c:manualLayout>
                  <c:x val="-1.437198081300147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B5-4E6A-A309-C954404DD1D7}"/>
                </c:ext>
              </c:extLst>
            </c:dLbl>
            <c:dLbl>
              <c:idx val="3"/>
              <c:layout>
                <c:manualLayout>
                  <c:x val="6.1594203484291567E-3"/>
                  <c:y val="-1.752577461853840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B5-4E6A-A309-C954404DD1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Resumo!$B$52:$B$56</c:f>
              <c:strCache>
                <c:ptCount val="4"/>
                <c:pt idx="0">
                  <c:v>Incorporar</c:v>
                </c:pt>
                <c:pt idx="1">
                  <c:v>Em alinhamento</c:v>
                </c:pt>
                <c:pt idx="2">
                  <c:v>Encerrar</c:v>
                </c:pt>
                <c:pt idx="3">
                  <c:v>Escopo será absorvido pela Oi</c:v>
                </c:pt>
              </c:strCache>
            </c:strRef>
          </c:cat>
          <c:val>
            <c:numRef>
              <c:f>Resumo!$C$52:$C$56</c:f>
              <c:numCache>
                <c:formatCode>General</c:formatCode>
                <c:ptCount val="4"/>
                <c:pt idx="0">
                  <c:v>120</c:v>
                </c:pt>
                <c:pt idx="1">
                  <c:v>64</c:v>
                </c:pt>
                <c:pt idx="2">
                  <c:v>18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5-4E6A-A309-C954404DD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4671002936039"/>
          <c:y val="0.18348558798659945"/>
          <c:w val="0.42431664390121365"/>
          <c:h val="0.575897205364501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307975</xdr:colOff>
      <xdr:row>0</xdr:row>
      <xdr:rowOff>136525</xdr:rowOff>
    </xdr:from>
    <xdr:to>
      <xdr:col>6</xdr:col>
      <xdr:colOff>1066800</xdr:colOff>
      <xdr:row>3</xdr:row>
      <xdr:rowOff>73025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07975" y="136525"/>
          <a:ext cx="6931025" cy="422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BASE</a:t>
          </a:r>
          <a:r>
            <a:rPr lang="pt-BR" sz="1800" b="1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CONTRATOS </a:t>
          </a:r>
          <a:r>
            <a:rPr lang="pt-BR" sz="18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SEREDE</a:t>
          </a:r>
          <a:endParaRPr lang="pt-BR" sz="18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oneCellAnchor>
    <xdr:from>
      <xdr:col>9</xdr:col>
      <xdr:colOff>134469</xdr:colOff>
      <xdr:row>0</xdr:row>
      <xdr:rowOff>44344</xdr:rowOff>
    </xdr:from>
    <xdr:ext cx="1512795" cy="910909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6" t="14381" r="21530"/>
        <a:stretch/>
      </xdr:blipFill>
      <xdr:spPr>
        <a:xfrm>
          <a:off x="10275793" y="44344"/>
          <a:ext cx="1512795" cy="910909"/>
        </a:xfrm>
        <a:prstGeom prst="rect">
          <a:avLst/>
        </a:prstGeom>
      </xdr:spPr>
    </xdr:pic>
    <xdr:clientData/>
  </xdr:oneCellAnchor>
  <xdr:twoCellAnchor>
    <xdr:from>
      <xdr:col>0</xdr:col>
      <xdr:colOff>-409575</xdr:colOff>
      <xdr:row>0</xdr:row>
      <xdr:rowOff>-1019175</xdr:rowOff>
    </xdr:from>
    <xdr:to>
      <xdr:col>0</xdr:col>
      <xdr:colOff>-409575</xdr:colOff>
      <xdr:row>0</xdr:row>
      <xdr:rowOff>-1019175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2F72011-8D2A-73C8-1009-8B5B4957995B}"/>
            </a:ext>
            <a:ext uri="{147F2762-F138-4A5C-976F-8EAC2B608ADB}">
              <a16:predDERef xmlns:a16="http://schemas.microsoft.com/office/drawing/2014/main" pred="{711D7E5C-B761-D73E-77FD-2F8EC5B20663}"/>
            </a:ext>
          </a:extLst>
        </xdr:cNvPr>
        <xdr:cNvSpPr txBox="1"/>
      </xdr:nvSpPr>
      <xdr:spPr>
        <a:xfrm>
          <a:off x="-409575" y="-10191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CONTRATOS CORPORATIVOS</a:t>
          </a:r>
        </a:p>
      </xdr:txBody>
    </xdr:sp>
    <xdr:clientData/>
  </xdr:twoCellAnchor>
  <xdr:twoCellAnchor>
    <xdr:from>
      <xdr:col>4</xdr:col>
      <xdr:colOff>795617</xdr:colOff>
      <xdr:row>11</xdr:row>
      <xdr:rowOff>56029</xdr:rowOff>
    </xdr:from>
    <xdr:to>
      <xdr:col>11</xdr:col>
      <xdr:colOff>89646</xdr:colOff>
      <xdr:row>22</xdr:row>
      <xdr:rowOff>89646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IZA RANGEL ESTABILE" refreshedDate="45722.445146180558" createdVersion="6" refreshedVersion="6" minRefreshableVersion="3" recordCount="216">
  <cacheSource type="worksheet">
    <worksheetSource ref="C6:F221" sheet="1. Base de Contratos"/>
  </cacheSource>
  <cacheFields count="4">
    <cacheField name="ÁREA SEREDE" numFmtId="0">
      <sharedItems/>
    </cacheField>
    <cacheField name="Responsável SEREDE" numFmtId="0">
      <sharedItems/>
    </cacheField>
    <cacheField name="AÇÃO" numFmtId="0">
      <sharedItems count="6">
        <s v="Incorporar"/>
        <s v="Encerrar"/>
        <s v="Escopo será absorvido pela Oi"/>
        <s v="Em alinhamento"/>
        <s v="Encerrar e escopo absorvido pela Oi" u="1"/>
        <s v="Incorporar " u="1"/>
      </sharedItems>
    </cacheField>
    <cacheField name="NO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iviane De Medeiros Calaca Gomes" refreshedDate="45727.707702777778" createdVersion="6" refreshedVersion="6" minRefreshableVersion="3" recordCount="215">
  <cacheSource type="worksheet">
    <worksheetSource ref="C6:E221" sheet="1. Base de Contratos"/>
  </cacheSource>
  <cacheFields count="3">
    <cacheField name="Área SEREDE" numFmtId="0">
      <sharedItems count="16">
        <s v="Jurídico"/>
        <s v="RH"/>
        <s v="Financeiro"/>
        <s v="TI"/>
        <s v="Fiscal"/>
        <s v="Facilities"/>
        <s v="Logística"/>
        <s v="SESMT"/>
        <s v="Auditoria"/>
        <s v="Patrimônio"/>
        <s v="Segurança"/>
        <s v="Ger. Remun., Planej. E Gestão"/>
        <s v="Operações"/>
        <s v="Controladoria"/>
        <s v="Compliance"/>
        <s v="Frota"/>
      </sharedItems>
    </cacheField>
    <cacheField name="Responsável SEREDE" numFmtId="0">
      <sharedItems/>
    </cacheField>
    <cacheField name="AÇÃO" numFmtId="0">
      <sharedItems count="4">
        <s v="Incorporar"/>
        <s v="Encerrar"/>
        <s v="Em alinhamento"/>
        <s v="Escopo será absorvido pela O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s v="RH"/>
    <s v="Celia Carla "/>
    <x v="0"/>
    <s v="Entender escopo do patrocinio na Oi  (área) (nova incorporação OI - ACP )"/>
  </r>
  <r>
    <s v="RH"/>
    <s v="Celia Carla "/>
    <x v="0"/>
    <s v="PCD online (nova incorporação OI)"/>
  </r>
  <r>
    <s v="RH"/>
    <s v="Celia Carla "/>
    <x v="1"/>
    <s v="Oi não irá seguir com o contrato "/>
  </r>
  <r>
    <s v="RH"/>
    <s v="Celia Carla "/>
    <x v="1"/>
    <m/>
  </r>
  <r>
    <s v="RH"/>
    <s v="Celia Carla "/>
    <x v="0"/>
    <m/>
  </r>
  <r>
    <s v="RH"/>
    <s v="Celia Carla "/>
    <x v="0"/>
    <m/>
  </r>
  <r>
    <s v="RH"/>
    <s v="Celia Carla "/>
    <x v="2"/>
    <s v="Aditar mantendo ativo na SEREDE até a data de incorporação e depois será ampliado ao contrato Oi"/>
  </r>
  <r>
    <s v="RH"/>
    <s v="Celia Carla "/>
    <x v="1"/>
    <s v="Oi não irá seguir com o contrato "/>
  </r>
  <r>
    <s v="RH"/>
    <s v="Celia Carla "/>
    <x v="1"/>
    <m/>
  </r>
  <r>
    <s v="RH"/>
    <s v="Celia Carla "/>
    <x v="1"/>
    <m/>
  </r>
  <r>
    <s v="RH"/>
    <s v="Celia Carla "/>
    <x v="2"/>
    <s v="Unificar os contratos ampliando o escopo do número de acessos "/>
  </r>
  <r>
    <s v="RH"/>
    <s v="Celia Carla "/>
    <x v="0"/>
    <s v="Acordo Coletivo (nova incorporação OI - ACT RS)"/>
  </r>
  <r>
    <s v="RH"/>
    <s v="Celia Carla "/>
    <x v="0"/>
    <s v="nova incorporação OI - ACP "/>
  </r>
  <r>
    <s v="RH"/>
    <s v="Celia Carla "/>
    <x v="0"/>
    <s v="nova incorporação OI"/>
  </r>
  <r>
    <s v="RH"/>
    <s v="Edmilson Oliveira"/>
    <x v="3"/>
    <s v="Aguarda definição da Oi"/>
  </r>
  <r>
    <s v="RH"/>
    <s v="Celia Carla/Ricardo"/>
    <x v="3"/>
    <s v="Em alinhamento interno"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Jurídico"/>
    <s v="Emília Borges"/>
    <x v="0"/>
    <m/>
  </r>
  <r>
    <s v="SESMT"/>
    <s v="Fabiano Prudêncio"/>
    <x v="0"/>
    <m/>
  </r>
  <r>
    <s v="SESMT"/>
    <s v="Fabiano Prudêncio"/>
    <x v="0"/>
    <m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2"/>
    <s v="a Oi tem contrato deste fornecedor - avaliar melhor LPU"/>
  </r>
  <r>
    <s v="Logística"/>
    <s v="Fabíola Sodré"/>
    <x v="0"/>
    <s v="Tem outro fornecedores de frete, avaliar melhor condições dos demais"/>
  </r>
  <r>
    <s v="Logística"/>
    <s v="Fabíola Sodré"/>
    <x v="0"/>
    <s v="Serede/Oi vai prestar para a ClientCO - Reversa"/>
  </r>
  <r>
    <s v="Logística"/>
    <s v="Fabíola Sodré"/>
    <x v="0"/>
    <s v="Serede/Oi vai prestar para a ClientCO - Reversa"/>
  </r>
  <r>
    <s v="Logística"/>
    <s v="Fabíola Sodré"/>
    <x v="0"/>
    <s v="Tem outro fornecedores de frete, avaliar melhor condições dos demais"/>
  </r>
  <r>
    <s v="Logística"/>
    <s v="Fabíola Sodré"/>
    <x v="0"/>
    <s v="Tem outro fornecedores de frete, avaliar melhor condições dos demais"/>
  </r>
  <r>
    <s v="Logística"/>
    <s v="Fabíola Sodré"/>
    <x v="0"/>
    <s v="Tem outro fornecedores de frete, avaliar melhor condições dos demai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2"/>
    <s v="A Oi aditivou recentemente a Serede no contrato guarda chuva"/>
  </r>
  <r>
    <s v="Logística"/>
    <s v="Fabíola Sodré"/>
    <x v="2"/>
    <s v="A Oi aditivou recentemente a Serede no contrato guarda chuva"/>
  </r>
  <r>
    <s v="Logística"/>
    <s v="Fabíola Sodré"/>
    <x v="2"/>
    <s v="A Oi aditivou recentemente a Serede no contrato guarda chuva"/>
  </r>
  <r>
    <s v="Logística"/>
    <s v="Fabíola Sodré"/>
    <x v="2"/>
    <s v="A Oi aditivou recentemente a Serede no contrato guarda chuva"/>
  </r>
  <r>
    <s v="Logística"/>
    <s v="Fabíola Sodré"/>
    <x v="0"/>
    <s v="a Oi não tem contrato deste escopo e não tem esses fornecedores"/>
  </r>
  <r>
    <s v="Logística"/>
    <s v="Fabíola Sodré"/>
    <x v="0"/>
    <s v="a Oi não tem contrato deste escopo e não tem esses fornecedores"/>
  </r>
  <r>
    <s v="Logística"/>
    <s v="Fabíola Sodré"/>
    <x v="1"/>
    <s v="Vencimento antes do incorporação / Oi tem fornecedores de descarte que já nos atende"/>
  </r>
  <r>
    <s v="Logística"/>
    <s v="Fabíola Sodré"/>
    <x v="1"/>
    <s v="Vencimento antes do incorporação / Oi tem fornecedores de descarte que já nos atende"/>
  </r>
  <r>
    <s v="Logística"/>
    <s v="Fabíola Sodré"/>
    <x v="1"/>
    <s v="Vencimento antes do incorporação / Oi tem fornecedores de descarte que já nos atende"/>
  </r>
  <r>
    <s v="Auditoria"/>
    <s v="Fidelis Ramos"/>
    <x v="0"/>
    <s v="Utilizar até data de vecimento"/>
  </r>
  <r>
    <s v="Compliance"/>
    <s v="Fidelis Ramos"/>
    <x v="2"/>
    <s v="Contrato Corporativo com a Oi"/>
  </r>
  <r>
    <s v="Financeir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Patrimônio"/>
    <s v="Hugo Di Biase"/>
    <x v="3"/>
    <m/>
  </r>
  <r>
    <s v="Financeiro"/>
    <s v="Hugo Di Biase"/>
    <x v="3"/>
    <m/>
  </r>
  <r>
    <s v="Patrimônio"/>
    <s v="Hugo Di Biase"/>
    <x v="3"/>
    <m/>
  </r>
  <r>
    <s v="Patrimônio"/>
    <s v="Hugo Di Biase"/>
    <x v="3"/>
    <m/>
  </r>
  <r>
    <s v="Financeiro"/>
    <s v="Hugo Di Biase"/>
    <x v="3"/>
    <m/>
  </r>
  <r>
    <s v="Patrimônio"/>
    <s v="Hugo Di Biase"/>
    <x v="3"/>
    <m/>
  </r>
  <r>
    <s v="TI"/>
    <s v="Lino Neto"/>
    <x v="3"/>
    <s v="Lino respondeu que será incorporado a Oi. Validar. "/>
  </r>
  <r>
    <s v="RH"/>
    <s v="Ricardo Pedro"/>
    <x v="1"/>
    <m/>
  </r>
  <r>
    <s v="TI"/>
    <s v="Lino Neto"/>
    <x v="3"/>
    <s v="Aguardar time Oi"/>
  </r>
  <r>
    <s v="TI"/>
    <s v="Lino Neto"/>
    <x v="3"/>
    <s v="Aguardar time Oi"/>
  </r>
  <r>
    <s v="TI"/>
    <s v="Lino Neto"/>
    <x v="2"/>
    <m/>
  </r>
  <r>
    <s v="TI"/>
    <s v="Lino Neto"/>
    <x v="3"/>
    <s v="Aguardar time Oi"/>
  </r>
  <r>
    <s v="TI"/>
    <s v="Wilson (Novos Negócios)"/>
    <x v="3"/>
    <s v="Depende se iremos continuar com o Relpi.me"/>
  </r>
  <r>
    <s v="TI"/>
    <s v="Wilson (Novos Negócios)"/>
    <x v="3"/>
    <s v="Depende se iremos continuar com o Relpi.me"/>
  </r>
  <r>
    <s v="Novos Negócios"/>
    <s v="Wilson"/>
    <x v="3"/>
    <s v="Aguardar time Oi"/>
  </r>
  <r>
    <s v="TI"/>
    <s v="Tharcia Leite (Fiscal)"/>
    <x v="3"/>
    <m/>
  </r>
  <r>
    <s v="TI"/>
    <s v="Lino Neto"/>
    <x v="3"/>
    <s v="Aguardar time Oi"/>
  </r>
  <r>
    <s v="TI"/>
    <s v="Lino Neto"/>
    <x v="2"/>
    <m/>
  </r>
  <r>
    <s v="TI"/>
    <s v="Lino Neto"/>
    <x v="3"/>
    <s v="Aguardar time Oi"/>
  </r>
  <r>
    <s v="TI"/>
    <s v="Lino Neto"/>
    <x v="3"/>
    <s v="Aguardar time Oi"/>
  </r>
  <r>
    <s v="TI"/>
    <s v="Lino Neto"/>
    <x v="1"/>
    <s v="Oi irá utilizar o próprio SAP"/>
  </r>
  <r>
    <s v="TI"/>
    <s v="Lino Neto"/>
    <x v="3"/>
    <s v="Aguardar time Oi"/>
  </r>
  <r>
    <s v="TI"/>
    <s v="Lino Neto"/>
    <x v="1"/>
    <m/>
  </r>
  <r>
    <s v="TI"/>
    <s v="Lino Neto"/>
    <x v="0"/>
    <s v="Utilizar o contrato serede na Oi"/>
  </r>
  <r>
    <s v="TI"/>
    <s v="Lino Neto"/>
    <x v="3"/>
    <s v="Aguardar time Oi"/>
  </r>
  <r>
    <s v="TI"/>
    <s v="Lino Neto"/>
    <x v="3"/>
    <s v="Aguardar time Oi"/>
  </r>
  <r>
    <s v="TI"/>
    <s v="Lino Neto"/>
    <x v="3"/>
    <s v="Aguardar time Oi"/>
  </r>
  <r>
    <s v="TI"/>
    <s v="Lino Neto"/>
    <x v="3"/>
    <s v="Aguardar time Oi"/>
  </r>
  <r>
    <s v="TI"/>
    <s v="Lino Neto"/>
    <x v="3"/>
    <s v="Aguardar time Oi"/>
  </r>
  <r>
    <s v="TI"/>
    <s v="Lino Neto"/>
    <x v="3"/>
    <s v="Aguardar time Oi"/>
  </r>
  <r>
    <s v="Ger. Remun., Planej. E Gestão"/>
    <s v="Marcus Vinicius Moraes"/>
    <x v="2"/>
    <s v="O Contrato será mantido para o ciclo de gestão 2025 e encerrado no início de 2026"/>
  </r>
  <r>
    <s v="Ger. Remun., Planej. E Gestão"/>
    <s v="Marcus Vinicius Moraes"/>
    <x v="0"/>
    <s v="Não renovar após témino da vigência do contrato"/>
  </r>
  <r>
    <s v="RH"/>
    <s v="Ricardo Pedro"/>
    <x v="1"/>
    <s v="A MasterVig atende nacionalmente"/>
  </r>
  <r>
    <s v="RH"/>
    <s v="Ricardo Pedro"/>
    <x v="0"/>
    <s v="Atendimento a determinação judicial de prestar atendimento home care"/>
  </r>
  <r>
    <s v="RH"/>
    <s v="Ricardo Pedro"/>
    <x v="0"/>
    <s v="Sem custo. Atendimento BR"/>
  </r>
  <r>
    <s v="RH"/>
    <s v="Ricardo Pedro"/>
    <x v="0"/>
    <s v="Sem custo. Somente no RJ/ Area de Saúde"/>
  </r>
  <r>
    <s v="RH"/>
    <s v="Ricardo Pedro"/>
    <x v="0"/>
    <s v="Aguardar definição final"/>
  </r>
  <r>
    <s v="RH"/>
    <s v="Ricardo Pedro"/>
    <x v="0"/>
    <m/>
  </r>
  <r>
    <s v="RH"/>
    <s v="Ricardo Pedro"/>
    <x v="2"/>
    <m/>
  </r>
  <r>
    <s v="RH"/>
    <s v="Ricardo Pedro"/>
    <x v="0"/>
    <s v="Consta em acordo coletivo a oferta de telemedicina"/>
  </r>
  <r>
    <s v="RH"/>
    <s v="Ricardo Pedro"/>
    <x v="0"/>
    <m/>
  </r>
  <r>
    <s v="RH"/>
    <s v="Ricardo Pedro"/>
    <x v="0"/>
    <m/>
  </r>
  <r>
    <s v="RH"/>
    <s v="Ricardo Pedro"/>
    <x v="3"/>
    <s v="Avaliar se irá unificar"/>
  </r>
  <r>
    <s v="RH"/>
    <s v="Ricardo Pedro"/>
    <x v="0"/>
    <m/>
  </r>
  <r>
    <s v="RH"/>
    <s v="Ricardo Pedro"/>
    <x v="0"/>
    <m/>
  </r>
  <r>
    <s v="RH"/>
    <s v="Ricardo Pedro"/>
    <x v="0"/>
    <m/>
  </r>
  <r>
    <s v="RH"/>
    <s v="Ricardo Pedro"/>
    <x v="0"/>
    <m/>
  </r>
  <r>
    <s v="RH"/>
    <s v="Ricardo Pedro"/>
    <x v="0"/>
    <m/>
  </r>
  <r>
    <s v="RH"/>
    <s v="Ricardo Pedro"/>
    <x v="0"/>
    <m/>
  </r>
  <r>
    <s v="RH"/>
    <s v="Ricardo Pedro"/>
    <x v="2"/>
    <m/>
  </r>
  <r>
    <s v="RH"/>
    <s v="Ricardo Pedro"/>
    <x v="1"/>
    <m/>
  </r>
  <r>
    <s v="RH"/>
    <s v="Ricardo Pedro"/>
    <x v="0"/>
    <m/>
  </r>
  <r>
    <s v="RH"/>
    <s v="Ricardo Pedro"/>
    <x v="2"/>
    <s v="Area de Patrimonio que é responsavel"/>
  </r>
  <r>
    <s v="RH"/>
    <s v="Ricardo Pedro"/>
    <x v="0"/>
    <s v="Irá avaliar com Patrimonio Oi, pois tem outras areas envolvidas"/>
  </r>
  <r>
    <s v="RH"/>
    <s v="Ricardo Pedro"/>
    <x v="0"/>
    <m/>
  </r>
  <r>
    <s v="Controladoria"/>
    <s v="Tharcia Leite"/>
    <x v="3"/>
    <s v="Aguarda definição da Oi"/>
  </r>
  <r>
    <s v="Controladoria"/>
    <s v="Tharcia Leite"/>
    <x v="3"/>
    <s v="Aguarda definição da Oi"/>
  </r>
  <r>
    <s v="Controladoria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Fiscal"/>
    <s v="Tharcia Leite"/>
    <x v="3"/>
    <s v="Aguarda definição da Oi"/>
  </r>
  <r>
    <s v="Controladoria"/>
    <s v="Tharcia Leite"/>
    <x v="3"/>
    <s v="Aguarda definição da Oi"/>
  </r>
  <r>
    <s v="Operações"/>
    <s v="Wendell Maia"/>
    <x v="0"/>
    <s v="Suprimentos alinhou com operações da Oi (André Alvim) e Operações Serede (Wendell Maia)"/>
  </r>
  <r>
    <s v="Operações"/>
    <s v="Wendell Maia"/>
    <x v="0"/>
    <s v="Suprimentos alinhou com operações da Oi (André Alvim) e Operações Serede (Wendell Maia)"/>
  </r>
  <r>
    <s v="Operações"/>
    <s v="Wendell Maia"/>
    <x v="0"/>
    <s v="Suprimentos alinhou com operações da Oi (André Alvim) e Operações Serede (Wendell Maia)"/>
  </r>
  <r>
    <s v="Frota"/>
    <s v="Wilton Moreira"/>
    <x v="0"/>
    <m/>
  </r>
  <r>
    <s v="Frota"/>
    <s v="Wilton Moreira"/>
    <x v="0"/>
    <m/>
  </r>
  <r>
    <s v="Frota"/>
    <s v="Wilton Moreira"/>
    <x v="0"/>
    <m/>
  </r>
  <r>
    <s v="Frota"/>
    <s v="Wilton Moreira"/>
    <x v="0"/>
    <m/>
  </r>
  <r>
    <s v="Frota"/>
    <s v="Wilton Moreira"/>
    <x v="0"/>
    <m/>
  </r>
  <r>
    <s v="Frota"/>
    <s v="Wilton Moreira"/>
    <x v="0"/>
    <m/>
  </r>
  <r>
    <s v="Frota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Segurança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  <r>
    <s v="Segurança"/>
    <s v="Wilton Moreira"/>
    <x v="0"/>
    <m/>
  </r>
  <r>
    <s v="Segurança"/>
    <s v="Wilton Moreira"/>
    <x v="0"/>
    <m/>
  </r>
  <r>
    <s v="Segurança"/>
    <s v="Wilton Moreira"/>
    <x v="0"/>
    <m/>
  </r>
  <r>
    <s v="Segurança"/>
    <s v="Wilton Moreira"/>
    <x v="0"/>
    <m/>
  </r>
  <r>
    <s v="Segurança"/>
    <s v="Wilton Moreira"/>
    <x v="1"/>
    <s v="Serviço passou para empresa DCAS"/>
  </r>
  <r>
    <s v="Segurança"/>
    <s v="Wilton Moreira"/>
    <x v="1"/>
    <s v="Empresa faz escolta com policiais"/>
  </r>
  <r>
    <s v="Segurança"/>
    <s v="Wilton Moreira"/>
    <x v="1"/>
    <m/>
  </r>
  <r>
    <s v="Facilities"/>
    <s v="Wilton Moreira"/>
    <x v="1"/>
    <m/>
  </r>
  <r>
    <s v="Segurança"/>
    <s v="Wilton Moreira"/>
    <x v="0"/>
    <m/>
  </r>
  <r>
    <s v="Segurança"/>
    <s v="Wilton Moreira"/>
    <x v="1"/>
    <m/>
  </r>
  <r>
    <s v="Facilities"/>
    <s v="Wilton Moreira"/>
    <x v="0"/>
    <m/>
  </r>
  <r>
    <s v="Facilities"/>
    <s v="Wilton Moreira"/>
    <x v="0"/>
    <m/>
  </r>
  <r>
    <s v="Segurança"/>
    <s v="Wilton Moreira"/>
    <x v="0"/>
    <m/>
  </r>
  <r>
    <s v="Facilities"/>
    <s v="Wilton Moreira"/>
    <x v="0"/>
    <m/>
  </r>
  <r>
    <s v="Facilities"/>
    <s v="Wilton Moreira"/>
    <x v="0"/>
    <m/>
  </r>
  <r>
    <s v="Facilities"/>
    <s v="Wilton Moreira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5"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1"/>
    <s v="Celia Carla "/>
    <x v="1"/>
  </r>
  <r>
    <x v="2"/>
    <s v="Hugo Di Biase"/>
    <x v="2"/>
  </r>
  <r>
    <x v="3"/>
    <s v="Lino Neto"/>
    <x v="2"/>
  </r>
  <r>
    <x v="1"/>
    <s v="Ricardo Pedro"/>
    <x v="0"/>
  </r>
  <r>
    <x v="1"/>
    <s v="Ricardo Pedro"/>
    <x v="0"/>
  </r>
  <r>
    <x v="1"/>
    <s v="Ricardo Pedro"/>
    <x v="0"/>
  </r>
  <r>
    <x v="1"/>
    <s v="Ricardo Pedro"/>
    <x v="0"/>
  </r>
  <r>
    <x v="1"/>
    <s v="Ricardo Pedro"/>
    <x v="1"/>
  </r>
  <r>
    <x v="3"/>
    <s v="Wilson (Novos Negócios)"/>
    <x v="2"/>
  </r>
  <r>
    <x v="1"/>
    <s v="Celia Carla "/>
    <x v="1"/>
  </r>
  <r>
    <x v="3"/>
    <s v="Lino Neto"/>
    <x v="2"/>
  </r>
  <r>
    <x v="4"/>
    <s v="Tharcia Leite"/>
    <x v="2"/>
  </r>
  <r>
    <x v="4"/>
    <s v="Tharcia Leite"/>
    <x v="2"/>
  </r>
  <r>
    <x v="4"/>
    <s v="Tharcia Leite"/>
    <x v="2"/>
  </r>
  <r>
    <x v="1"/>
    <s v="Celia Carla "/>
    <x v="0"/>
  </r>
  <r>
    <x v="1"/>
    <s v="Celia Carla "/>
    <x v="1"/>
  </r>
  <r>
    <x v="1"/>
    <s v="Celia Carla "/>
    <x v="0"/>
  </r>
  <r>
    <x v="1"/>
    <s v="Celia Carla "/>
    <x v="1"/>
  </r>
  <r>
    <x v="3"/>
    <s v="Lino Neto"/>
    <x v="2"/>
  </r>
  <r>
    <x v="1"/>
    <s v="Celia Carla "/>
    <x v="0"/>
  </r>
  <r>
    <x v="1"/>
    <s v="Celia Carla "/>
    <x v="1"/>
  </r>
  <r>
    <x v="0"/>
    <s v="Emília Borges"/>
    <x v="0"/>
  </r>
  <r>
    <x v="0"/>
    <s v="Emília Borges"/>
    <x v="0"/>
  </r>
  <r>
    <x v="1"/>
    <s v="Celia Carla/Ricardo"/>
    <x v="3"/>
  </r>
  <r>
    <x v="1"/>
    <s v="Edmilson Oliveira"/>
    <x v="2"/>
  </r>
  <r>
    <x v="5"/>
    <s v="Wilton Moreira"/>
    <x v="0"/>
  </r>
  <r>
    <x v="0"/>
    <s v="Emília Borges"/>
    <x v="0"/>
  </r>
  <r>
    <x v="0"/>
    <s v="Emília Borges"/>
    <x v="0"/>
  </r>
  <r>
    <x v="1"/>
    <s v="Celia Carla "/>
    <x v="0"/>
  </r>
  <r>
    <x v="0"/>
    <s v="Emília Borges"/>
    <x v="0"/>
  </r>
  <r>
    <x v="4"/>
    <s v="Tharcia Leite"/>
    <x v="2"/>
  </r>
  <r>
    <x v="1"/>
    <s v="Celia Carla "/>
    <x v="0"/>
  </r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0"/>
    <s v="Emília Borges"/>
    <x v="0"/>
  </r>
  <r>
    <x v="6"/>
    <s v="Fabíola Sodré"/>
    <x v="1"/>
  </r>
  <r>
    <x v="6"/>
    <s v="Fabíola Sodré"/>
    <x v="1"/>
  </r>
  <r>
    <x v="3"/>
    <s v="Lino Neto"/>
    <x v="2"/>
  </r>
  <r>
    <x v="3"/>
    <s v="Tharcia Leite (Fiscal)"/>
    <x v="2"/>
  </r>
  <r>
    <x v="3"/>
    <s v="Lino Neto"/>
    <x v="2"/>
  </r>
  <r>
    <x v="7"/>
    <s v="Fabiano Prudêncio"/>
    <x v="0"/>
  </r>
  <r>
    <x v="3"/>
    <s v="Lino Neto"/>
    <x v="2"/>
  </r>
  <r>
    <x v="3"/>
    <s v="Lino Neto"/>
    <x v="2"/>
  </r>
  <r>
    <x v="3"/>
    <s v="Lino Neto"/>
    <x v="2"/>
  </r>
  <r>
    <x v="6"/>
    <s v="Fabíola Sodré"/>
    <x v="0"/>
  </r>
  <r>
    <x v="1"/>
    <s v="Ricardo Pedro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3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1"/>
    <s v="Ricardo Pedro"/>
    <x v="0"/>
  </r>
  <r>
    <x v="6"/>
    <s v="Fabíola Sodré"/>
    <x v="0"/>
  </r>
  <r>
    <x v="6"/>
    <s v="Fabíola Sodré"/>
    <x v="0"/>
  </r>
  <r>
    <x v="1"/>
    <s v="Ricardo Pedro"/>
    <x v="0"/>
  </r>
  <r>
    <x v="6"/>
    <s v="Fabíola Sodré"/>
    <x v="0"/>
  </r>
  <r>
    <x v="6"/>
    <s v="Fabíola Sodré"/>
    <x v="0"/>
  </r>
  <r>
    <x v="6"/>
    <s v="Fabíola Sodré"/>
    <x v="3"/>
  </r>
  <r>
    <x v="6"/>
    <s v="Fabíola Sodré"/>
    <x v="3"/>
  </r>
  <r>
    <x v="6"/>
    <s v="Fabíola Sodré"/>
    <x v="3"/>
  </r>
  <r>
    <x v="6"/>
    <s v="Fabíola Sodré"/>
    <x v="3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6"/>
    <s v="Fabíola Sodré"/>
    <x v="0"/>
  </r>
  <r>
    <x v="8"/>
    <s v="Fidelis Ramos"/>
    <x v="0"/>
  </r>
  <r>
    <x v="1"/>
    <s v="Ricardo Pedro"/>
    <x v="0"/>
  </r>
  <r>
    <x v="1"/>
    <s v="Ricardo Pedro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9"/>
    <s v="Hugo Di Biase"/>
    <x v="2"/>
  </r>
  <r>
    <x v="2"/>
    <s v="Hugo Di Biase"/>
    <x v="2"/>
  </r>
  <r>
    <x v="2"/>
    <s v="Hugo Di Biase"/>
    <x v="2"/>
  </r>
  <r>
    <x v="1"/>
    <s v="Ricardo Pedro"/>
    <x v="0"/>
  </r>
  <r>
    <x v="1"/>
    <s v="Ricardo Pedro"/>
    <x v="3"/>
  </r>
  <r>
    <x v="1"/>
    <s v="Ricardo Pedro"/>
    <x v="0"/>
  </r>
  <r>
    <x v="1"/>
    <s v="Ricardo Pedro"/>
    <x v="0"/>
  </r>
  <r>
    <x v="1"/>
    <s v="Ricardo Pedro"/>
    <x v="0"/>
  </r>
  <r>
    <x v="1"/>
    <s v="Ricardo Pedro"/>
    <x v="1"/>
  </r>
  <r>
    <x v="4"/>
    <s v="Tharcia Leite"/>
    <x v="2"/>
  </r>
  <r>
    <x v="10"/>
    <s v="Wilton Moreira"/>
    <x v="1"/>
  </r>
  <r>
    <x v="3"/>
    <s v="Lino Neto"/>
    <x v="1"/>
  </r>
  <r>
    <x v="3"/>
    <s v="Lino Neto"/>
    <x v="2"/>
  </r>
  <r>
    <x v="4"/>
    <s v="Tharcia Leite"/>
    <x v="2"/>
  </r>
  <r>
    <x v="3"/>
    <s v="Lino Neto"/>
    <x v="3"/>
  </r>
  <r>
    <x v="3"/>
    <s v="Lino Neto"/>
    <x v="2"/>
  </r>
  <r>
    <x v="3"/>
    <s v="Lino Neto"/>
    <x v="2"/>
  </r>
  <r>
    <x v="3"/>
    <s v="Lino Neto"/>
    <x v="1"/>
  </r>
  <r>
    <x v="3"/>
    <s v="Lino Neto"/>
    <x v="3"/>
  </r>
  <r>
    <x v="3"/>
    <s v="Lino Neto"/>
    <x v="2"/>
  </r>
  <r>
    <x v="3"/>
    <s v="Lino Neto"/>
    <x v="2"/>
  </r>
  <r>
    <x v="3"/>
    <s v="Lino Neto"/>
    <x v="2"/>
  </r>
  <r>
    <x v="11"/>
    <s v="Marcus Vinicius Moraes"/>
    <x v="3"/>
  </r>
  <r>
    <x v="11"/>
    <s v="Marcus Vinicius Moraes"/>
    <x v="0"/>
  </r>
  <r>
    <x v="4"/>
    <s v="Tharcia Leite"/>
    <x v="2"/>
  </r>
  <r>
    <x v="12"/>
    <s v="Wendell Maia"/>
    <x v="0"/>
  </r>
  <r>
    <x v="3"/>
    <s v="Wilson (Novos Negócios)"/>
    <x v="2"/>
  </r>
  <r>
    <x v="1"/>
    <s v="Celia Carla "/>
    <x v="3"/>
  </r>
  <r>
    <x v="3"/>
    <s v="Wilson (Novos Negócios)"/>
    <x v="2"/>
  </r>
  <r>
    <x v="6"/>
    <s v="Fabíola Sodré"/>
    <x v="1"/>
  </r>
  <r>
    <x v="1"/>
    <s v="Ricardo Pedro"/>
    <x v="0"/>
  </r>
  <r>
    <x v="1"/>
    <s v="Ricardo Pedro"/>
    <x v="1"/>
  </r>
  <r>
    <x v="1"/>
    <s v="Ricardo Pedro"/>
    <x v="0"/>
  </r>
  <r>
    <x v="1"/>
    <s v="Ricardo Pedro"/>
    <x v="3"/>
  </r>
  <r>
    <x v="1"/>
    <s v="Ricardo Pedro"/>
    <x v="0"/>
  </r>
  <r>
    <x v="1"/>
    <s v="Ricardo Pedro"/>
    <x v="0"/>
  </r>
  <r>
    <x v="1"/>
    <s v="Ricardo Pedro"/>
    <x v="3"/>
  </r>
  <r>
    <x v="1"/>
    <s v="Ricardo Pedro"/>
    <x v="0"/>
  </r>
  <r>
    <x v="6"/>
    <s v="Fabíola Sodré"/>
    <x v="0"/>
  </r>
  <r>
    <x v="3"/>
    <s v="Lino Neto"/>
    <x v="0"/>
  </r>
  <r>
    <x v="1"/>
    <s v="Celia Carla "/>
    <x v="0"/>
  </r>
  <r>
    <x v="6"/>
    <s v="Fabíola Sodré"/>
    <x v="0"/>
  </r>
  <r>
    <x v="1"/>
    <s v="Celia Carla "/>
    <x v="3"/>
  </r>
  <r>
    <x v="4"/>
    <s v="Tharcia Leite"/>
    <x v="2"/>
  </r>
  <r>
    <x v="4"/>
    <s v="Tharcia Leite"/>
    <x v="2"/>
  </r>
  <r>
    <x v="13"/>
    <s v="Tharcia Leite"/>
    <x v="2"/>
  </r>
  <r>
    <x v="4"/>
    <s v="Tharcia Leite"/>
    <x v="2"/>
  </r>
  <r>
    <x v="13"/>
    <s v="Tharcia Leite"/>
    <x v="2"/>
  </r>
  <r>
    <x v="13"/>
    <s v="Tharcia Leite"/>
    <x v="2"/>
  </r>
  <r>
    <x v="13"/>
    <s v="Tharcia Leite"/>
    <x v="2"/>
  </r>
  <r>
    <x v="4"/>
    <s v="Tharcia Leite"/>
    <x v="2"/>
  </r>
  <r>
    <x v="12"/>
    <s v="Wendell Maia"/>
    <x v="0"/>
  </r>
  <r>
    <x v="12"/>
    <s v="Wendell Maia"/>
    <x v="0"/>
  </r>
  <r>
    <x v="14"/>
    <s v="Fidelis Ramos"/>
    <x v="3"/>
  </r>
  <r>
    <x v="15"/>
    <s v="Wilton Moreira"/>
    <x v="0"/>
  </r>
  <r>
    <x v="5"/>
    <s v="Wilton Moreira"/>
    <x v="0"/>
  </r>
  <r>
    <x v="10"/>
    <s v="Wilton Moreira"/>
    <x v="0"/>
  </r>
  <r>
    <x v="10"/>
    <s v="Wilton Moreira"/>
    <x v="1"/>
  </r>
  <r>
    <x v="15"/>
    <s v="Wilton Moreira"/>
    <x v="0"/>
  </r>
  <r>
    <x v="15"/>
    <s v="Wilton Moreira"/>
    <x v="0"/>
  </r>
  <r>
    <x v="10"/>
    <s v="Wilton Moreira"/>
    <x v="0"/>
  </r>
  <r>
    <x v="5"/>
    <s v="Wilton Moreira"/>
    <x v="0"/>
  </r>
  <r>
    <x v="5"/>
    <s v="Wilton Moreira"/>
    <x v="0"/>
  </r>
  <r>
    <x v="5"/>
    <s v="Wilton Moreira"/>
    <x v="1"/>
  </r>
  <r>
    <x v="10"/>
    <s v="Wilton Moreira"/>
    <x v="1"/>
  </r>
  <r>
    <x v="15"/>
    <s v="Wilton Moreira"/>
    <x v="0"/>
  </r>
  <r>
    <x v="1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15"/>
    <s v="Wilton Moreira"/>
    <x v="0"/>
  </r>
  <r>
    <x v="5"/>
    <s v="Wilton Moreira"/>
    <x v="0"/>
  </r>
  <r>
    <x v="1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5"/>
    <s v="Wilton Moreira"/>
    <x v="0"/>
  </r>
  <r>
    <x v="10"/>
    <s v="Wilton Moreira"/>
    <x v="0"/>
  </r>
  <r>
    <x v="7"/>
    <s v="Fabiano Prudêncio"/>
    <x v="0"/>
  </r>
  <r>
    <x v="10"/>
    <s v="Wilton Moreira"/>
    <x v="0"/>
  </r>
  <r>
    <x v="10"/>
    <s v="Wilton Moreira"/>
    <x v="1"/>
  </r>
  <r>
    <x v="5"/>
    <s v="Wilton Moreira"/>
    <x v="0"/>
  </r>
  <r>
    <x v="10"/>
    <s v="Wilton Moreira"/>
    <x v="0"/>
  </r>
  <r>
    <x v="5"/>
    <s v="Wilton Moreira"/>
    <x v="0"/>
  </r>
  <r>
    <x v="10"/>
    <s v="Wilton Moreira"/>
    <x v="0"/>
  </r>
  <r>
    <x v="5"/>
    <s v="Wilton Moreira"/>
    <x v="0"/>
  </r>
  <r>
    <x v="10"/>
    <s v="Wilton Moreira"/>
    <x v="0"/>
  </r>
  <r>
    <x v="5"/>
    <s v="Wilton Moreir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51:C56" firstHeaderRow="1" firstDataRow="1" firstDataCol="1"/>
  <pivotFields count="4">
    <pivotField showAll="0"/>
    <pivotField showAll="0"/>
    <pivotField axis="axisRow" dataField="1" showAll="0" sortType="descending">
      <items count="7">
        <item x="3"/>
        <item x="1"/>
        <item m="1" x="4"/>
        <item x="2"/>
        <item x="0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5">
    <i>
      <x v="4"/>
    </i>
    <i>
      <x/>
    </i>
    <i>
      <x v="1"/>
    </i>
    <i>
      <x v="3"/>
    </i>
    <i t="grand">
      <x/>
    </i>
  </rowItems>
  <colItems count="1">
    <i/>
  </colItems>
  <dataFields count="1">
    <dataField name="Contagem de AÇÃO" fld="2" subtotal="count" baseField="2" baseItem="0"/>
  </dataFields>
  <formats count="4">
    <format dxfId="38">
      <pivotArea collapsedLevelsAreSubtotals="1" fieldPosition="0">
        <references count="1">
          <reference field="2" count="1">
            <x v="3"/>
          </reference>
        </references>
      </pivotArea>
    </format>
    <format dxfId="37">
      <pivotArea dataOnly="0" labelOnly="1" fieldPosition="0">
        <references count="1">
          <reference field="2" count="1">
            <x v="3"/>
          </reference>
        </references>
      </pivotArea>
    </format>
    <format dxfId="36">
      <pivotArea collapsedLevelsAreSubtotals="1" fieldPosition="0">
        <references count="1">
          <reference field="2" count="1">
            <x v="4"/>
          </reference>
        </references>
      </pivotArea>
    </format>
    <format dxfId="35">
      <pivotArea dataOnly="0" labelOnly="1" fieldPosition="0">
        <references count="1">
          <reference field="2" count="1">
            <x v="4"/>
          </reference>
        </references>
      </pivotArea>
    </format>
  </format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dataField="1" showAll="0">
      <items count="17">
        <item x="8"/>
        <item x="14"/>
        <item x="13"/>
        <item x="5"/>
        <item x="2"/>
        <item x="4"/>
        <item x="15"/>
        <item x="11"/>
        <item x="0"/>
        <item x="6"/>
        <item x="12"/>
        <item x="9"/>
        <item x="1"/>
        <item x="10"/>
        <item x="7"/>
        <item x="3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Área SERE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248"/>
  <sheetViews>
    <sheetView showGridLines="0" zoomScale="85" zoomScaleNormal="85" workbookViewId="0">
      <pane ySplit="7" topLeftCell="A45" activePane="bottomLeft" state="frozen"/>
      <selection pane="bottomLeft" activeCell="G60" sqref="G60"/>
    </sheetView>
  </sheetViews>
  <sheetFormatPr defaultColWidth="9.140625" defaultRowHeight="12.75" x14ac:dyDescent="0.2"/>
  <cols>
    <col min="1" max="1" width="5.140625" style="4" customWidth="1"/>
    <col min="2" max="2" width="29.5703125" style="4" customWidth="1"/>
    <col min="3" max="3" width="18.5703125" style="4" customWidth="1"/>
    <col min="4" max="4" width="8.85546875" style="4" customWidth="1"/>
    <col min="5" max="5" width="17.5703125" style="4" customWidth="1"/>
    <col min="6" max="6" width="14.5703125" style="4" bestFit="1" customWidth="1"/>
    <col min="7" max="7" width="11.7109375" style="4" customWidth="1"/>
    <col min="8" max="8" width="19.140625" style="4" customWidth="1"/>
    <col min="9" max="9" width="14.5703125" style="4" bestFit="1" customWidth="1"/>
    <col min="10" max="10" width="11.7109375" style="4" customWidth="1"/>
    <col min="11" max="11" width="4.7109375" style="4" customWidth="1"/>
    <col min="12" max="12" width="22.85546875" style="4" customWidth="1"/>
    <col min="13" max="85" width="11" style="4" bestFit="1" customWidth="1"/>
    <col min="86" max="86" width="4.5703125" style="4" customWidth="1"/>
    <col min="87" max="87" width="7" style="4" customWidth="1"/>
    <col min="88" max="88" width="10.7109375" style="4" bestFit="1" customWidth="1"/>
    <col min="89" max="16384" width="9.140625" style="4"/>
  </cols>
  <sheetData>
    <row r="5" spans="2:12" x14ac:dyDescent="0.2">
      <c r="B5" s="4" t="s">
        <v>254</v>
      </c>
    </row>
    <row r="7" spans="2:12" x14ac:dyDescent="0.2"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2:12" ht="5.0999999999999996" customHeight="1" x14ac:dyDescent="0.2"/>
    <row r="9" spans="2:12" ht="5.0999999999999996" customHeight="1" x14ac:dyDescent="0.2">
      <c r="B9" s="6"/>
      <c r="C9" s="6"/>
      <c r="D9" s="6"/>
      <c r="E9" s="6"/>
      <c r="F9" s="6"/>
      <c r="G9" s="6"/>
      <c r="H9" s="6"/>
      <c r="I9" s="6"/>
      <c r="J9" s="6"/>
      <c r="K9" s="18"/>
      <c r="L9" s="18"/>
    </row>
    <row r="10" spans="2:12" s="7" customFormat="1" ht="18.95" customHeight="1" x14ac:dyDescent="0.25">
      <c r="B10" s="8" t="s">
        <v>532</v>
      </c>
      <c r="E10" s="8"/>
    </row>
    <row r="11" spans="2:12" ht="15" customHeight="1" x14ac:dyDescent="0.2">
      <c r="B11" s="18"/>
      <c r="C11" s="18"/>
      <c r="D11" s="18"/>
      <c r="E11" s="32"/>
      <c r="F11" s="18"/>
      <c r="G11" s="18"/>
      <c r="H11" s="18"/>
      <c r="I11" s="18"/>
      <c r="J11" s="18"/>
      <c r="K11" s="18"/>
      <c r="L11" s="18"/>
    </row>
    <row r="12" spans="2:12" ht="15" customHeight="1" x14ac:dyDescent="0.2">
      <c r="B12" s="27" t="s">
        <v>134</v>
      </c>
      <c r="C12" s="21">
        <f>COUNTIF('1. Base de Contratos'!C:C,Resumo!B12)</f>
        <v>1</v>
      </c>
      <c r="D12" s="27"/>
      <c r="E12" s="32"/>
      <c r="F12" s="27"/>
      <c r="G12" s="27"/>
      <c r="H12" s="27"/>
      <c r="I12" s="27"/>
      <c r="J12" s="18"/>
      <c r="K12" s="18"/>
      <c r="L12" s="18"/>
    </row>
    <row r="13" spans="2:12" ht="15" customHeight="1" x14ac:dyDescent="0.2">
      <c r="B13" s="27" t="s">
        <v>153</v>
      </c>
      <c r="C13" s="21">
        <f>COUNTIF('1. Base de Contratos'!C:C,Resumo!B13)</f>
        <v>1</v>
      </c>
      <c r="D13" s="18"/>
      <c r="E13" s="32"/>
      <c r="F13" s="18"/>
      <c r="G13" s="18"/>
      <c r="H13" s="18"/>
      <c r="I13" s="18"/>
      <c r="J13" s="18"/>
      <c r="K13" s="18"/>
      <c r="L13" s="18"/>
    </row>
    <row r="14" spans="2:12" ht="15" customHeight="1" x14ac:dyDescent="0.2">
      <c r="B14" s="27" t="s">
        <v>128</v>
      </c>
      <c r="C14" s="21">
        <f>COUNTIF('1. Base de Contratos'!C:C,Resumo!B14)</f>
        <v>4</v>
      </c>
      <c r="D14" s="18"/>
      <c r="E14" s="32"/>
      <c r="F14" s="18"/>
      <c r="G14" s="18"/>
      <c r="H14" s="18"/>
      <c r="I14" s="18"/>
      <c r="J14" s="18"/>
      <c r="K14" s="18"/>
      <c r="L14" s="18"/>
    </row>
    <row r="15" spans="2:12" ht="15" customHeight="1" x14ac:dyDescent="0.2">
      <c r="B15" s="27" t="s">
        <v>74</v>
      </c>
      <c r="C15" s="21">
        <f>COUNTIF('1. Base de Contratos'!C:C,Resumo!B15)</f>
        <v>24</v>
      </c>
      <c r="D15" s="18"/>
      <c r="E15" s="32"/>
      <c r="F15" s="28"/>
      <c r="G15" s="18"/>
      <c r="H15" s="18"/>
      <c r="I15" s="18"/>
      <c r="J15" s="18"/>
      <c r="K15" s="18"/>
      <c r="L15" s="18"/>
    </row>
    <row r="16" spans="2:12" s="10" customFormat="1" ht="15" customHeight="1" x14ac:dyDescent="0.25">
      <c r="B16" s="27" t="s">
        <v>183</v>
      </c>
      <c r="C16" s="21">
        <f>COUNTIF('1. Base de Contratos'!C:C,Resumo!B16)</f>
        <v>3</v>
      </c>
      <c r="D16" s="21"/>
      <c r="E16" s="32"/>
      <c r="F16" s="29"/>
      <c r="G16" s="21"/>
      <c r="H16" s="21"/>
      <c r="I16" s="21"/>
      <c r="J16" s="21"/>
      <c r="K16" s="21"/>
      <c r="L16" s="21"/>
    </row>
    <row r="17" spans="2:12" ht="15" customHeight="1" x14ac:dyDescent="0.25">
      <c r="B17" s="27" t="s">
        <v>159</v>
      </c>
      <c r="C17" s="21">
        <f>COUNTIF('1. Base de Contratos'!C:C,Resumo!B17)</f>
        <v>11</v>
      </c>
      <c r="D17" s="18"/>
      <c r="E17" s="32"/>
      <c r="F17" s="29"/>
      <c r="G17" s="18"/>
      <c r="H17" s="18"/>
      <c r="I17" s="18"/>
      <c r="J17" s="18"/>
      <c r="K17" s="18"/>
      <c r="L17" s="18"/>
    </row>
    <row r="18" spans="2:12" ht="15" customHeight="1" x14ac:dyDescent="0.25">
      <c r="B18" s="27" t="s">
        <v>58</v>
      </c>
      <c r="C18" s="21">
        <f>COUNTIF('1. Base de Contratos'!C:C,Resumo!B18)</f>
        <v>7</v>
      </c>
      <c r="D18" s="18"/>
      <c r="E18" s="32"/>
      <c r="F18" s="30"/>
      <c r="G18" s="18"/>
      <c r="H18" s="18"/>
      <c r="I18" s="18"/>
      <c r="J18" s="18"/>
      <c r="K18" s="18"/>
      <c r="L18" s="18"/>
    </row>
    <row r="19" spans="2:12" ht="15" customHeight="1" x14ac:dyDescent="0.25">
      <c r="B19" s="27" t="s">
        <v>419</v>
      </c>
      <c r="C19" s="21">
        <f>COUNTIF('1. Base de Contratos'!C:C,Resumo!B19)</f>
        <v>2</v>
      </c>
      <c r="D19" s="18"/>
      <c r="E19" s="32"/>
      <c r="F19" s="30"/>
      <c r="G19" s="18"/>
      <c r="H19" s="18"/>
      <c r="I19" s="18"/>
      <c r="J19" s="18"/>
      <c r="K19" s="18"/>
      <c r="L19" s="18"/>
    </row>
    <row r="20" spans="2:12" ht="15" customHeight="1" x14ac:dyDescent="0.25">
      <c r="B20" s="27" t="s">
        <v>39</v>
      </c>
      <c r="C20" s="21">
        <f>COUNTIF('1. Base de Contratos'!C:C,Resumo!B20)</f>
        <v>17</v>
      </c>
      <c r="D20" s="18"/>
      <c r="E20" s="33"/>
      <c r="F20" s="30"/>
      <c r="G20" s="18"/>
      <c r="H20" s="18"/>
      <c r="I20" s="18"/>
      <c r="J20" s="18"/>
      <c r="K20" s="18"/>
      <c r="L20" s="18"/>
    </row>
    <row r="21" spans="2:12" ht="15" customHeight="1" x14ac:dyDescent="0.25">
      <c r="B21" s="27" t="s">
        <v>70</v>
      </c>
      <c r="C21" s="21">
        <f>COUNTIF('1. Base de Contratos'!C:C,Resumo!B21)</f>
        <v>42</v>
      </c>
      <c r="D21" s="31"/>
      <c r="E21"/>
      <c r="F21" s="30"/>
      <c r="G21" s="31"/>
      <c r="H21" s="31"/>
      <c r="I21" s="31"/>
      <c r="J21" s="18"/>
      <c r="K21" s="18"/>
      <c r="L21" s="18"/>
    </row>
    <row r="22" spans="2:12" ht="15" customHeight="1" x14ac:dyDescent="0.25">
      <c r="B22" s="27" t="s">
        <v>164</v>
      </c>
      <c r="C22" s="21">
        <f>COUNTIF('1. Base de Contratos'!C:C,Resumo!B22)</f>
        <v>3</v>
      </c>
      <c r="D22" s="18"/>
      <c r="E22"/>
      <c r="F22" s="30"/>
      <c r="G22" s="31"/>
      <c r="H22" s="31"/>
      <c r="I22" s="31"/>
      <c r="J22" s="18"/>
      <c r="K22" s="18"/>
      <c r="L22" s="18"/>
    </row>
    <row r="23" spans="2:12" s="10" customFormat="1" ht="15" customHeight="1" x14ac:dyDescent="0.2">
      <c r="B23" s="27" t="s">
        <v>63</v>
      </c>
      <c r="C23" s="21">
        <f>COUNTIF('1. Base de Contratos'!C:C,Resumo!B23)</f>
        <v>25</v>
      </c>
      <c r="D23" s="21"/>
      <c r="E23" s="21"/>
      <c r="F23" s="21"/>
      <c r="G23" s="21"/>
      <c r="H23" s="21"/>
      <c r="I23" s="21"/>
      <c r="J23" s="21"/>
      <c r="K23" s="21"/>
      <c r="L23" s="21"/>
    </row>
    <row r="24" spans="2:12" ht="15" customHeight="1" x14ac:dyDescent="0.2">
      <c r="B24" s="27" t="s">
        <v>25</v>
      </c>
      <c r="C24" s="21">
        <f>COUNTIF('1. Base de Contratos'!C:C,Resumo!B24)</f>
        <v>39</v>
      </c>
      <c r="D24" s="18"/>
      <c r="E24" s="18"/>
      <c r="F24" s="18"/>
      <c r="G24" s="18"/>
      <c r="H24" s="18"/>
      <c r="I24" s="18"/>
      <c r="J24" s="18"/>
      <c r="K24" s="18"/>
      <c r="L24" s="18"/>
    </row>
    <row r="25" spans="2:12" ht="15" customHeight="1" x14ac:dyDescent="0.2">
      <c r="B25" s="27" t="s">
        <v>84</v>
      </c>
      <c r="C25" s="21">
        <f>COUNTIF('1. Base de Contratos'!C:C,Resumo!B25)</f>
        <v>11</v>
      </c>
      <c r="D25" s="18"/>
      <c r="E25" s="109" t="s">
        <v>269</v>
      </c>
      <c r="F25" s="129" t="s">
        <v>270</v>
      </c>
      <c r="G25" s="129"/>
      <c r="H25" s="129"/>
      <c r="I25" s="129"/>
      <c r="J25" s="129"/>
      <c r="K25" s="129"/>
      <c r="L25" s="129"/>
    </row>
    <row r="26" spans="2:12" ht="15" customHeight="1" x14ac:dyDescent="0.2">
      <c r="B26" s="27" t="s">
        <v>100</v>
      </c>
      <c r="C26" s="21">
        <f>COUNTIF('1. Base de Contratos'!C:C,Resumo!B26)</f>
        <v>2</v>
      </c>
      <c r="D26" s="18"/>
      <c r="E26" s="109" t="s">
        <v>521</v>
      </c>
      <c r="F26" s="129" t="s">
        <v>522</v>
      </c>
      <c r="G26" s="129"/>
      <c r="H26" s="129"/>
      <c r="I26" s="129"/>
      <c r="J26" s="129"/>
      <c r="K26" s="18"/>
      <c r="L26" s="18"/>
    </row>
    <row r="27" spans="2:12" ht="15" customHeight="1" x14ac:dyDescent="0.2">
      <c r="B27" s="27" t="s">
        <v>34</v>
      </c>
      <c r="C27" s="21">
        <f>COUNTIF('1. Base de Contratos'!C:C,Resumo!B27)</f>
        <v>23</v>
      </c>
      <c r="D27" s="18"/>
      <c r="E27" s="109" t="s">
        <v>268</v>
      </c>
      <c r="F27" s="129" t="s">
        <v>272</v>
      </c>
      <c r="G27" s="129"/>
      <c r="H27" s="129"/>
      <c r="I27" s="129"/>
      <c r="J27" s="129"/>
      <c r="K27" s="129"/>
      <c r="L27" s="129"/>
    </row>
    <row r="28" spans="2:12" ht="15" customHeight="1" x14ac:dyDescent="0.2">
      <c r="B28" s="125" t="s">
        <v>255</v>
      </c>
      <c r="C28" s="126">
        <f>SUM(C12:C27)</f>
        <v>215</v>
      </c>
      <c r="D28" s="18"/>
      <c r="E28" s="109" t="s">
        <v>271</v>
      </c>
      <c r="F28" s="129" t="s">
        <v>273</v>
      </c>
      <c r="G28" s="129"/>
      <c r="H28" s="129"/>
      <c r="I28" s="129"/>
      <c r="J28" s="129"/>
      <c r="K28" s="129"/>
      <c r="L28" s="129"/>
    </row>
    <row r="29" spans="2:12" ht="15" customHeight="1" x14ac:dyDescent="0.2">
      <c r="B29" s="18"/>
      <c r="C29" s="18"/>
      <c r="D29" s="18"/>
      <c r="E29" s="18"/>
      <c r="F29" s="18"/>
      <c r="G29" s="18"/>
      <c r="H29" s="28"/>
      <c r="I29" s="18"/>
      <c r="J29" s="18"/>
      <c r="K29" s="18"/>
      <c r="L29" s="18"/>
    </row>
    <row r="31" spans="2:12" x14ac:dyDescent="0.2">
      <c r="H31" s="5"/>
    </row>
    <row r="32" spans="2:12" x14ac:dyDescent="0.2">
      <c r="H32" s="5"/>
    </row>
    <row r="33" spans="8:8" x14ac:dyDescent="0.2">
      <c r="H33" s="5"/>
    </row>
    <row r="34" spans="8:8" x14ac:dyDescent="0.2">
      <c r="H34" s="5"/>
    </row>
    <row r="41" spans="8:8" x14ac:dyDescent="0.2">
      <c r="H41" s="5"/>
    </row>
    <row r="42" spans="8:8" x14ac:dyDescent="0.2">
      <c r="H42" s="5"/>
    </row>
    <row r="43" spans="8:8" x14ac:dyDescent="0.2">
      <c r="H43" s="5"/>
    </row>
    <row r="44" spans="8:8" x14ac:dyDescent="0.2">
      <c r="H44" s="5"/>
    </row>
    <row r="45" spans="8:8" x14ac:dyDescent="0.2">
      <c r="H45" s="5"/>
    </row>
    <row r="46" spans="8:8" x14ac:dyDescent="0.2">
      <c r="H46" s="5"/>
    </row>
    <row r="47" spans="8:8" x14ac:dyDescent="0.2">
      <c r="H47" s="5"/>
    </row>
    <row r="48" spans="8:8" x14ac:dyDescent="0.2">
      <c r="H48" s="5"/>
    </row>
    <row r="49" spans="2:8" x14ac:dyDescent="0.2">
      <c r="H49" s="5"/>
    </row>
    <row r="50" spans="2:8" x14ac:dyDescent="0.2">
      <c r="H50" s="5"/>
    </row>
    <row r="51" spans="2:8" ht="15" x14ac:dyDescent="0.25">
      <c r="B51" s="107" t="s">
        <v>525</v>
      </c>
      <c r="C51" t="s">
        <v>524</v>
      </c>
      <c r="H51" s="5"/>
    </row>
    <row r="52" spans="2:8" ht="15" x14ac:dyDescent="0.25">
      <c r="B52" s="127" t="s">
        <v>269</v>
      </c>
      <c r="C52" s="128">
        <v>120</v>
      </c>
      <c r="H52" s="5"/>
    </row>
    <row r="53" spans="2:8" ht="15" x14ac:dyDescent="0.25">
      <c r="B53" s="108" t="s">
        <v>521</v>
      </c>
      <c r="C53" s="106">
        <v>64</v>
      </c>
      <c r="E53" s="4" t="s">
        <v>608</v>
      </c>
      <c r="H53" s="5"/>
    </row>
    <row r="54" spans="2:8" ht="15" x14ac:dyDescent="0.25">
      <c r="B54" s="108" t="s">
        <v>268</v>
      </c>
      <c r="C54" s="106">
        <v>18</v>
      </c>
      <c r="E54" s="4" t="s">
        <v>607</v>
      </c>
      <c r="H54" s="5"/>
    </row>
    <row r="55" spans="2:8" ht="15" x14ac:dyDescent="0.25">
      <c r="B55" s="127" t="s">
        <v>271</v>
      </c>
      <c r="C55" s="128">
        <v>14</v>
      </c>
      <c r="H55" s="5"/>
    </row>
    <row r="56" spans="2:8" ht="15" x14ac:dyDescent="0.25">
      <c r="B56" s="108" t="s">
        <v>526</v>
      </c>
      <c r="C56" s="106">
        <v>216</v>
      </c>
      <c r="H56" s="5"/>
    </row>
    <row r="57" spans="2:8" x14ac:dyDescent="0.2">
      <c r="H57" s="5"/>
    </row>
    <row r="58" spans="2:8" x14ac:dyDescent="0.2">
      <c r="H58" s="5"/>
    </row>
    <row r="59" spans="2:8" x14ac:dyDescent="0.2">
      <c r="H59" s="5"/>
    </row>
    <row r="60" spans="2:8" x14ac:dyDescent="0.2">
      <c r="H60" s="5"/>
    </row>
    <row r="61" spans="2:8" x14ac:dyDescent="0.2">
      <c r="H61" s="5"/>
    </row>
    <row r="62" spans="2:8" x14ac:dyDescent="0.2">
      <c r="H62" s="5"/>
    </row>
    <row r="63" spans="2:8" x14ac:dyDescent="0.2">
      <c r="H63" s="5"/>
    </row>
    <row r="64" spans="2:8" x14ac:dyDescent="0.2">
      <c r="H64" s="5"/>
    </row>
    <row r="65" spans="8:8" x14ac:dyDescent="0.2">
      <c r="H65" s="5"/>
    </row>
    <row r="66" spans="8:8" x14ac:dyDescent="0.2">
      <c r="H66" s="5"/>
    </row>
    <row r="67" spans="8:8" x14ac:dyDescent="0.2">
      <c r="H67" s="5"/>
    </row>
    <row r="68" spans="8:8" x14ac:dyDescent="0.2">
      <c r="H68" s="5"/>
    </row>
    <row r="69" spans="8:8" x14ac:dyDescent="0.2">
      <c r="H69" s="5"/>
    </row>
    <row r="70" spans="8:8" x14ac:dyDescent="0.2">
      <c r="H70" s="5"/>
    </row>
    <row r="71" spans="8:8" x14ac:dyDescent="0.2">
      <c r="H71" s="5"/>
    </row>
    <row r="72" spans="8:8" x14ac:dyDescent="0.2">
      <c r="H72" s="5"/>
    </row>
    <row r="73" spans="8:8" x14ac:dyDescent="0.2">
      <c r="H73" s="5"/>
    </row>
    <row r="74" spans="8:8" x14ac:dyDescent="0.2">
      <c r="H74" s="5"/>
    </row>
    <row r="75" spans="8:8" x14ac:dyDescent="0.2">
      <c r="H75" s="5"/>
    </row>
    <row r="76" spans="8:8" x14ac:dyDescent="0.2">
      <c r="H76" s="5"/>
    </row>
    <row r="77" spans="8:8" x14ac:dyDescent="0.2">
      <c r="H77" s="5"/>
    </row>
    <row r="78" spans="8:8" x14ac:dyDescent="0.2">
      <c r="H78" s="5"/>
    </row>
    <row r="79" spans="8:8" x14ac:dyDescent="0.2">
      <c r="H79" s="5"/>
    </row>
    <row r="80" spans="8:8" x14ac:dyDescent="0.2">
      <c r="H80" s="5"/>
    </row>
    <row r="81" spans="8:8" x14ac:dyDescent="0.2">
      <c r="H81" s="5"/>
    </row>
    <row r="82" spans="8:8" x14ac:dyDescent="0.2">
      <c r="H82" s="5"/>
    </row>
    <row r="83" spans="8:8" x14ac:dyDescent="0.2">
      <c r="H83" s="5"/>
    </row>
    <row r="84" spans="8:8" x14ac:dyDescent="0.2">
      <c r="H84" s="5"/>
    </row>
    <row r="85" spans="8:8" x14ac:dyDescent="0.2">
      <c r="H85" s="5"/>
    </row>
    <row r="86" spans="8:8" x14ac:dyDescent="0.2">
      <c r="H86" s="5"/>
    </row>
    <row r="87" spans="8:8" x14ac:dyDescent="0.2">
      <c r="H87" s="5"/>
    </row>
    <row r="88" spans="8:8" x14ac:dyDescent="0.2">
      <c r="H88" s="5"/>
    </row>
    <row r="89" spans="8:8" x14ac:dyDescent="0.2">
      <c r="H89" s="5"/>
    </row>
    <row r="90" spans="8:8" x14ac:dyDescent="0.2">
      <c r="H90" s="5"/>
    </row>
    <row r="91" spans="8:8" x14ac:dyDescent="0.2">
      <c r="H91" s="5"/>
    </row>
    <row r="92" spans="8:8" x14ac:dyDescent="0.2">
      <c r="H92" s="5"/>
    </row>
    <row r="93" spans="8:8" x14ac:dyDescent="0.2">
      <c r="H93" s="5"/>
    </row>
    <row r="94" spans="8:8" x14ac:dyDescent="0.2">
      <c r="H94" s="5"/>
    </row>
    <row r="95" spans="8:8" x14ac:dyDescent="0.2">
      <c r="H95" s="5"/>
    </row>
    <row r="96" spans="8:8" x14ac:dyDescent="0.2">
      <c r="H96" s="5"/>
    </row>
    <row r="97" spans="8:8" x14ac:dyDescent="0.2">
      <c r="H97" s="5"/>
    </row>
    <row r="98" spans="8:8" x14ac:dyDescent="0.2">
      <c r="H98" s="5"/>
    </row>
    <row r="99" spans="8:8" x14ac:dyDescent="0.2">
      <c r="H99" s="5"/>
    </row>
    <row r="100" spans="8:8" x14ac:dyDescent="0.2">
      <c r="H100" s="5"/>
    </row>
    <row r="101" spans="8:8" x14ac:dyDescent="0.2">
      <c r="H101" s="5"/>
    </row>
    <row r="102" spans="8:8" x14ac:dyDescent="0.2">
      <c r="H102" s="5"/>
    </row>
    <row r="103" spans="8:8" x14ac:dyDescent="0.2">
      <c r="H103" s="5"/>
    </row>
    <row r="104" spans="8:8" x14ac:dyDescent="0.2">
      <c r="H104" s="5"/>
    </row>
    <row r="105" spans="8:8" x14ac:dyDescent="0.2">
      <c r="H105" s="5"/>
    </row>
    <row r="106" spans="8:8" x14ac:dyDescent="0.2">
      <c r="H106" s="5"/>
    </row>
    <row r="107" spans="8:8" x14ac:dyDescent="0.2">
      <c r="H107" s="5"/>
    </row>
    <row r="108" spans="8:8" x14ac:dyDescent="0.2">
      <c r="H108" s="5"/>
    </row>
    <row r="109" spans="8:8" x14ac:dyDescent="0.2">
      <c r="H109" s="5"/>
    </row>
    <row r="110" spans="8:8" x14ac:dyDescent="0.2">
      <c r="H110" s="5"/>
    </row>
    <row r="111" spans="8:8" x14ac:dyDescent="0.2">
      <c r="H111" s="5"/>
    </row>
    <row r="112" spans="8:8" x14ac:dyDescent="0.2">
      <c r="H112" s="5"/>
    </row>
    <row r="113" spans="8:8" x14ac:dyDescent="0.2">
      <c r="H113" s="5"/>
    </row>
    <row r="114" spans="8:8" x14ac:dyDescent="0.2">
      <c r="H114" s="5"/>
    </row>
    <row r="115" spans="8:8" x14ac:dyDescent="0.2">
      <c r="H115" s="5"/>
    </row>
    <row r="116" spans="8:8" x14ac:dyDescent="0.2">
      <c r="H116" s="5"/>
    </row>
    <row r="117" spans="8:8" x14ac:dyDescent="0.2">
      <c r="H117" s="5"/>
    </row>
    <row r="118" spans="8:8" x14ac:dyDescent="0.2">
      <c r="H118" s="5"/>
    </row>
    <row r="119" spans="8:8" x14ac:dyDescent="0.2">
      <c r="H119" s="5"/>
    </row>
    <row r="120" spans="8:8" x14ac:dyDescent="0.2">
      <c r="H120" s="5"/>
    </row>
    <row r="121" spans="8:8" x14ac:dyDescent="0.2">
      <c r="H121" s="5"/>
    </row>
    <row r="122" spans="8:8" x14ac:dyDescent="0.2">
      <c r="H122" s="5"/>
    </row>
    <row r="123" spans="8:8" x14ac:dyDescent="0.2">
      <c r="H123" s="5"/>
    </row>
    <row r="124" spans="8:8" x14ac:dyDescent="0.2">
      <c r="H124" s="5"/>
    </row>
    <row r="125" spans="8:8" x14ac:dyDescent="0.2">
      <c r="H125" s="5"/>
    </row>
    <row r="126" spans="8:8" x14ac:dyDescent="0.2">
      <c r="H126" s="5"/>
    </row>
    <row r="127" spans="8:8" x14ac:dyDescent="0.2">
      <c r="H127" s="5"/>
    </row>
    <row r="128" spans="8:8" x14ac:dyDescent="0.2">
      <c r="H128" s="5"/>
    </row>
    <row r="129" spans="8:8" x14ac:dyDescent="0.2">
      <c r="H129" s="5"/>
    </row>
    <row r="130" spans="8:8" x14ac:dyDescent="0.2">
      <c r="H130" s="5"/>
    </row>
    <row r="131" spans="8:8" x14ac:dyDescent="0.2">
      <c r="H131" s="5"/>
    </row>
    <row r="132" spans="8:8" x14ac:dyDescent="0.2">
      <c r="H132" s="5"/>
    </row>
    <row r="133" spans="8:8" x14ac:dyDescent="0.2">
      <c r="H133" s="5"/>
    </row>
    <row r="247" spans="5:5" ht="15" x14ac:dyDescent="0.25">
      <c r="E247"/>
    </row>
    <row r="248" spans="5:5" ht="15" x14ac:dyDescent="0.25">
      <c r="E248"/>
    </row>
  </sheetData>
  <sortState ref="B12:C28">
    <sortCondition ref="B11"/>
  </sortState>
  <mergeCells count="4">
    <mergeCell ref="F28:L28"/>
    <mergeCell ref="F27:L27"/>
    <mergeCell ref="F26:J26"/>
    <mergeCell ref="F25:L25"/>
  </mergeCells>
  <conditionalFormatting sqref="B29:B47">
    <cfRule type="duplicateValues" dxfId="34" priority="1"/>
  </conditionalFormatting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15" sqref="B15"/>
    </sheetView>
  </sheetViews>
  <sheetFormatPr defaultRowHeight="15" x14ac:dyDescent="0.25"/>
  <cols>
    <col min="1" max="1" width="27.7109375" customWidth="1"/>
    <col min="2" max="2" width="24.5703125" bestFit="1" customWidth="1"/>
  </cols>
  <sheetData>
    <row r="3" spans="1:2" x14ac:dyDescent="0.25">
      <c r="A3" s="107" t="s">
        <v>525</v>
      </c>
      <c r="B3" t="s">
        <v>603</v>
      </c>
    </row>
    <row r="4" spans="1:2" x14ac:dyDescent="0.25">
      <c r="A4" s="108" t="s">
        <v>521</v>
      </c>
      <c r="B4" s="106">
        <v>63</v>
      </c>
    </row>
    <row r="5" spans="1:2" x14ac:dyDescent="0.25">
      <c r="A5" s="108" t="s">
        <v>268</v>
      </c>
      <c r="B5" s="106">
        <v>18</v>
      </c>
    </row>
    <row r="6" spans="1:2" x14ac:dyDescent="0.25">
      <c r="A6" s="108" t="s">
        <v>271</v>
      </c>
      <c r="B6" s="106">
        <v>15</v>
      </c>
    </row>
    <row r="7" spans="1:2" x14ac:dyDescent="0.25">
      <c r="A7" s="108" t="s">
        <v>269</v>
      </c>
      <c r="B7" s="106">
        <v>119</v>
      </c>
    </row>
    <row r="8" spans="1:2" x14ac:dyDescent="0.25">
      <c r="A8" s="108" t="s">
        <v>526</v>
      </c>
      <c r="B8" s="106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B554"/>
  <sheetViews>
    <sheetView showGridLines="0" tabSelected="1" topLeftCell="C1" zoomScale="80" zoomScaleNormal="80" workbookViewId="0">
      <pane ySplit="6" topLeftCell="A55" activePane="bottomLeft" state="frozen"/>
      <selection pane="bottomLeft" activeCell="G5" sqref="G5"/>
    </sheetView>
  </sheetViews>
  <sheetFormatPr defaultColWidth="9.140625" defaultRowHeight="15" x14ac:dyDescent="0.25"/>
  <cols>
    <col min="1" max="1" width="3" style="1" customWidth="1"/>
    <col min="2" max="2" width="9.42578125" style="3" customWidth="1"/>
    <col min="3" max="3" width="19.85546875" style="3" customWidth="1"/>
    <col min="4" max="4" width="24.85546875" style="1" customWidth="1"/>
    <col min="5" max="5" width="22.140625" style="3" customWidth="1"/>
    <col min="6" max="6" width="44" style="2" customWidth="1"/>
    <col min="7" max="7" width="25.140625" style="3" customWidth="1"/>
    <col min="8" max="8" width="19.5703125" style="3" hidden="1" customWidth="1"/>
    <col min="9" max="9" width="21" style="61" hidden="1" customWidth="1"/>
    <col min="10" max="10" width="30.85546875" style="61" customWidth="1"/>
    <col min="11" max="11" width="31.5703125" style="2" customWidth="1"/>
    <col min="12" max="12" width="17" style="3" customWidth="1"/>
    <col min="13" max="13" width="42" style="1" customWidth="1"/>
    <col min="14" max="14" width="18.42578125" style="3" customWidth="1"/>
    <col min="15" max="15" width="13.85546875" style="3" customWidth="1"/>
    <col min="16" max="16" width="16.42578125" style="1" customWidth="1"/>
    <col min="17" max="17" width="16.140625" style="3" customWidth="1"/>
    <col min="18" max="18" width="11.85546875" style="3" customWidth="1"/>
    <col min="19" max="19" width="13.7109375" style="3" customWidth="1"/>
    <col min="20" max="20" width="10.28515625" style="3" customWidth="1"/>
    <col min="21" max="21" width="26.42578125" style="3" customWidth="1"/>
    <col min="22" max="22" width="21.85546875" style="3" customWidth="1"/>
    <col min="23" max="23" width="10.28515625" style="3" customWidth="1"/>
    <col min="24" max="24" width="11" style="1" customWidth="1"/>
    <col min="25" max="25" width="15.5703125" style="1" customWidth="1"/>
    <col min="26" max="26" width="65.85546875" style="2" customWidth="1"/>
    <col min="27" max="27" width="9" style="3" customWidth="1"/>
    <col min="28" max="28" width="13.85546875" style="3" bestFit="1" customWidth="1"/>
    <col min="29" max="29" width="21.85546875" style="1" customWidth="1"/>
    <col min="30" max="30" width="31.140625" style="1" customWidth="1"/>
    <col min="31" max="31" width="28.140625" style="1" customWidth="1"/>
    <col min="32" max="16384" width="9.140625" style="1"/>
  </cols>
  <sheetData>
    <row r="1" spans="1:31" x14ac:dyDescent="0.25">
      <c r="P1" s="3"/>
    </row>
    <row r="2" spans="1:31" ht="18.75" x14ac:dyDescent="0.3">
      <c r="B2" s="83" t="s">
        <v>0</v>
      </c>
      <c r="P2" s="3"/>
      <c r="Q2" s="14"/>
      <c r="R2" s="14"/>
      <c r="S2" s="14"/>
    </row>
    <row r="3" spans="1:31" ht="18.75" x14ac:dyDescent="0.3">
      <c r="B3" s="83" t="s">
        <v>1</v>
      </c>
      <c r="P3" s="3"/>
      <c r="Q3" s="14"/>
      <c r="R3" s="14"/>
      <c r="S3" s="14"/>
    </row>
    <row r="4" spans="1:31" s="3" customFormat="1" x14ac:dyDescent="0.25">
      <c r="E4" s="134" t="s">
        <v>2</v>
      </c>
      <c r="F4" s="135"/>
      <c r="G4" s="148"/>
      <c r="H4" s="55">
        <f>SUBTOTAL(3,H7:H1384)</f>
        <v>28</v>
      </c>
      <c r="I4" s="62"/>
      <c r="J4" s="62"/>
      <c r="K4" s="111"/>
      <c r="P4" s="11">
        <f>COUNTA(P7:P1446)</f>
        <v>191</v>
      </c>
      <c r="Q4" s="139" t="s">
        <v>4</v>
      </c>
      <c r="R4" s="140"/>
      <c r="S4" s="140"/>
      <c r="T4" s="141"/>
      <c r="U4" s="142" t="s">
        <v>5</v>
      </c>
      <c r="V4" s="143"/>
      <c r="W4" s="143"/>
      <c r="X4" s="143"/>
      <c r="Y4" s="143"/>
      <c r="Z4" s="26"/>
      <c r="AA4" s="132"/>
      <c r="AB4" s="133"/>
    </row>
    <row r="5" spans="1:31" s="3" customFormat="1" ht="45" x14ac:dyDescent="0.25">
      <c r="A5" s="97"/>
      <c r="B5" s="98" t="s">
        <v>501</v>
      </c>
      <c r="C5" s="146" t="s">
        <v>8</v>
      </c>
      <c r="D5" s="146" t="s">
        <v>9</v>
      </c>
      <c r="E5" s="53" t="s">
        <v>275</v>
      </c>
      <c r="F5" s="53" t="s">
        <v>274</v>
      </c>
      <c r="G5" s="152" t="s">
        <v>613</v>
      </c>
      <c r="H5" s="12" t="s">
        <v>253</v>
      </c>
      <c r="I5" s="94" t="s">
        <v>280</v>
      </c>
      <c r="J5" s="95" t="s">
        <v>520</v>
      </c>
      <c r="K5" s="12" t="s">
        <v>10</v>
      </c>
      <c r="L5" s="12" t="s">
        <v>11</v>
      </c>
      <c r="M5" s="12" t="s">
        <v>12</v>
      </c>
      <c r="N5" s="23" t="s">
        <v>13</v>
      </c>
      <c r="O5" s="96" t="s">
        <v>3</v>
      </c>
      <c r="P5" s="13" t="s">
        <v>17</v>
      </c>
      <c r="Q5" s="136" t="s">
        <v>14</v>
      </c>
      <c r="R5" s="138"/>
      <c r="S5" s="136" t="s">
        <v>15</v>
      </c>
      <c r="T5" s="138"/>
      <c r="U5" s="136" t="s">
        <v>16</v>
      </c>
      <c r="V5" s="137"/>
      <c r="W5" s="137"/>
      <c r="X5" s="137"/>
      <c r="Y5" s="137"/>
      <c r="Z5" s="59" t="s">
        <v>6</v>
      </c>
      <c r="AA5" s="130" t="s">
        <v>7</v>
      </c>
      <c r="AB5" s="131"/>
    </row>
    <row r="6" spans="1:31" s="3" customFormat="1" ht="38.25" customHeight="1" x14ac:dyDescent="0.25">
      <c r="B6" s="25"/>
      <c r="C6" s="146" t="s">
        <v>8</v>
      </c>
      <c r="D6" s="146" t="s">
        <v>9</v>
      </c>
      <c r="E6" s="54" t="s">
        <v>18</v>
      </c>
      <c r="F6" s="54" t="s">
        <v>281</v>
      </c>
      <c r="G6" s="149"/>
      <c r="H6" s="34"/>
      <c r="I6" s="63"/>
      <c r="J6" s="81"/>
      <c r="K6" s="76" t="s">
        <v>10</v>
      </c>
      <c r="L6" s="34" t="s">
        <v>11</v>
      </c>
      <c r="M6" s="34" t="s">
        <v>12</v>
      </c>
      <c r="N6" s="24"/>
      <c r="O6" s="35" t="s">
        <v>19</v>
      </c>
      <c r="P6" s="36" t="s">
        <v>17</v>
      </c>
      <c r="Q6" s="15" t="s">
        <v>19</v>
      </c>
      <c r="R6" s="15" t="s">
        <v>20</v>
      </c>
      <c r="S6" s="15" t="s">
        <v>19</v>
      </c>
      <c r="T6" s="15" t="s">
        <v>21</v>
      </c>
      <c r="U6" s="15" t="s">
        <v>19</v>
      </c>
      <c r="V6" s="15" t="s">
        <v>20</v>
      </c>
      <c r="W6" s="15" t="s">
        <v>21</v>
      </c>
      <c r="X6" s="15" t="s">
        <v>22</v>
      </c>
      <c r="Y6" s="35" t="s">
        <v>23</v>
      </c>
      <c r="Z6" s="60" t="s">
        <v>24</v>
      </c>
      <c r="AA6" s="117" t="s">
        <v>19</v>
      </c>
      <c r="AB6" s="117" t="s">
        <v>593</v>
      </c>
      <c r="AC6" s="144" t="s">
        <v>604</v>
      </c>
      <c r="AD6" s="144" t="s">
        <v>605</v>
      </c>
      <c r="AE6" s="145" t="s">
        <v>606</v>
      </c>
    </row>
    <row r="7" spans="1:31" ht="30" hidden="1" x14ac:dyDescent="0.25">
      <c r="B7" s="82" t="s">
        <v>276</v>
      </c>
      <c r="C7" s="75" t="s">
        <v>39</v>
      </c>
      <c r="D7" s="103" t="s">
        <v>440</v>
      </c>
      <c r="E7" s="123" t="s">
        <v>269</v>
      </c>
      <c r="F7" s="44"/>
      <c r="G7" s="44" t="s">
        <v>614</v>
      </c>
      <c r="H7" s="39" t="s">
        <v>587</v>
      </c>
      <c r="I7" s="64">
        <v>3175843000117</v>
      </c>
      <c r="J7" s="85" t="s">
        <v>507</v>
      </c>
      <c r="K7" s="115" t="s">
        <v>46</v>
      </c>
      <c r="L7" s="39" t="s">
        <v>47</v>
      </c>
      <c r="M7" s="47" t="s">
        <v>570</v>
      </c>
      <c r="N7" s="37" t="s">
        <v>39</v>
      </c>
      <c r="O7" s="37"/>
      <c r="P7" s="39" t="s">
        <v>294</v>
      </c>
      <c r="Q7" s="37"/>
      <c r="R7" s="43"/>
      <c r="S7" s="37"/>
      <c r="T7" s="40"/>
      <c r="U7" s="37"/>
      <c r="V7" s="43"/>
      <c r="W7" s="43"/>
      <c r="X7" s="37"/>
      <c r="Y7" s="39"/>
      <c r="Z7" s="58"/>
      <c r="AA7" s="39" t="s">
        <v>31</v>
      </c>
      <c r="AB7" s="118">
        <v>45717</v>
      </c>
    </row>
    <row r="8" spans="1:31" ht="30" hidden="1" x14ac:dyDescent="0.25">
      <c r="B8" s="82" t="s">
        <v>276</v>
      </c>
      <c r="C8" s="37" t="s">
        <v>39</v>
      </c>
      <c r="D8" s="103" t="s">
        <v>440</v>
      </c>
      <c r="E8" s="123" t="s">
        <v>269</v>
      </c>
      <c r="F8" s="44"/>
      <c r="G8" s="44" t="s">
        <v>614</v>
      </c>
      <c r="H8" s="39" t="s">
        <v>587</v>
      </c>
      <c r="I8" s="64">
        <v>27167735000160</v>
      </c>
      <c r="J8" s="85" t="s">
        <v>507</v>
      </c>
      <c r="K8" s="115" t="s">
        <v>48</v>
      </c>
      <c r="L8" s="46">
        <v>46142</v>
      </c>
      <c r="M8" s="47" t="s">
        <v>41</v>
      </c>
      <c r="N8" s="37" t="s">
        <v>39</v>
      </c>
      <c r="O8" s="37"/>
      <c r="P8" s="39" t="s">
        <v>294</v>
      </c>
      <c r="Q8" s="37"/>
      <c r="R8" s="43"/>
      <c r="S8" s="37"/>
      <c r="T8" s="40"/>
      <c r="U8" s="37"/>
      <c r="V8" s="43"/>
      <c r="W8" s="43"/>
      <c r="X8" s="37"/>
      <c r="Y8" s="39"/>
      <c r="Z8" s="58" t="s">
        <v>599</v>
      </c>
      <c r="AA8" s="39" t="s">
        <v>29</v>
      </c>
      <c r="AB8" s="39"/>
    </row>
    <row r="9" spans="1:31" ht="30" hidden="1" x14ac:dyDescent="0.25">
      <c r="B9" s="82" t="s">
        <v>276</v>
      </c>
      <c r="C9" s="37" t="s">
        <v>39</v>
      </c>
      <c r="D9" s="103" t="s">
        <v>440</v>
      </c>
      <c r="E9" s="124" t="s">
        <v>269</v>
      </c>
      <c r="F9" s="44"/>
      <c r="G9" s="44" t="s">
        <v>614</v>
      </c>
      <c r="H9" s="39" t="s">
        <v>587</v>
      </c>
      <c r="I9" s="64">
        <v>8782761000154</v>
      </c>
      <c r="J9" s="85" t="s">
        <v>507</v>
      </c>
      <c r="K9" s="115" t="s">
        <v>49</v>
      </c>
      <c r="L9" s="46">
        <v>45777</v>
      </c>
      <c r="M9" s="47" t="s">
        <v>41</v>
      </c>
      <c r="N9" s="37" t="s">
        <v>39</v>
      </c>
      <c r="O9" s="37"/>
      <c r="P9" s="39" t="s">
        <v>294</v>
      </c>
      <c r="Q9" s="37"/>
      <c r="R9" s="43"/>
      <c r="S9" s="37"/>
      <c r="T9" s="40"/>
      <c r="U9" s="37"/>
      <c r="V9" s="43"/>
      <c r="W9" s="43"/>
      <c r="X9" s="37"/>
      <c r="Y9" s="39"/>
      <c r="Z9" s="58" t="s">
        <v>599</v>
      </c>
      <c r="AA9" s="39" t="s">
        <v>29</v>
      </c>
      <c r="AB9" s="39"/>
    </row>
    <row r="10" spans="1:31" ht="30" hidden="1" x14ac:dyDescent="0.25">
      <c r="B10" s="82" t="s">
        <v>276</v>
      </c>
      <c r="C10" s="37" t="s">
        <v>39</v>
      </c>
      <c r="D10" s="103" t="s">
        <v>440</v>
      </c>
      <c r="E10" s="123" t="s">
        <v>269</v>
      </c>
      <c r="F10" s="44"/>
      <c r="G10" s="44" t="s">
        <v>614</v>
      </c>
      <c r="H10" s="39" t="s">
        <v>587</v>
      </c>
      <c r="I10" s="64">
        <v>22581179000150</v>
      </c>
      <c r="J10" s="85" t="s">
        <v>507</v>
      </c>
      <c r="K10" s="115" t="s">
        <v>44</v>
      </c>
      <c r="L10" s="46">
        <v>46173</v>
      </c>
      <c r="M10" s="47" t="s">
        <v>41</v>
      </c>
      <c r="N10" s="37" t="s">
        <v>39</v>
      </c>
      <c r="O10" s="37"/>
      <c r="P10" s="39" t="s">
        <v>294</v>
      </c>
      <c r="Q10" s="37"/>
      <c r="R10" s="43"/>
      <c r="S10" s="37"/>
      <c r="T10" s="40"/>
      <c r="U10" s="37"/>
      <c r="V10" s="43"/>
      <c r="W10" s="43"/>
      <c r="X10" s="37"/>
      <c r="Y10" s="39"/>
      <c r="Z10" s="58" t="s">
        <v>599</v>
      </c>
      <c r="AA10" s="39" t="s">
        <v>29</v>
      </c>
      <c r="AB10" s="39"/>
    </row>
    <row r="11" spans="1:31" ht="30" hidden="1" x14ac:dyDescent="0.25">
      <c r="B11" s="82" t="s">
        <v>276</v>
      </c>
      <c r="C11" s="37" t="s">
        <v>39</v>
      </c>
      <c r="D11" s="103" t="s">
        <v>440</v>
      </c>
      <c r="E11" s="124" t="s">
        <v>269</v>
      </c>
      <c r="F11" s="44"/>
      <c r="G11" s="44" t="s">
        <v>614</v>
      </c>
      <c r="H11" s="39" t="s">
        <v>587</v>
      </c>
      <c r="I11" s="64">
        <v>21421783000157</v>
      </c>
      <c r="J11" s="85" t="s">
        <v>507</v>
      </c>
      <c r="K11" s="115" t="s">
        <v>43</v>
      </c>
      <c r="L11" s="46">
        <v>46266</v>
      </c>
      <c r="M11" s="47" t="s">
        <v>41</v>
      </c>
      <c r="N11" s="37" t="s">
        <v>39</v>
      </c>
      <c r="O11" s="37"/>
      <c r="P11" s="39" t="s">
        <v>294</v>
      </c>
      <c r="Q11" s="37"/>
      <c r="R11" s="43"/>
      <c r="S11" s="37"/>
      <c r="T11" s="40"/>
      <c r="U11" s="37"/>
      <c r="V11" s="43"/>
      <c r="W11" s="43"/>
      <c r="X11" s="37"/>
      <c r="Y11" s="39"/>
      <c r="Z11" s="58" t="s">
        <v>599</v>
      </c>
      <c r="AA11" s="39" t="s">
        <v>29</v>
      </c>
      <c r="AB11" s="39"/>
    </row>
    <row r="12" spans="1:31" ht="30" hidden="1" x14ac:dyDescent="0.25">
      <c r="B12" s="82" t="s">
        <v>276</v>
      </c>
      <c r="C12" s="37" t="s">
        <v>39</v>
      </c>
      <c r="D12" s="103" t="s">
        <v>440</v>
      </c>
      <c r="E12" s="124" t="s">
        <v>269</v>
      </c>
      <c r="F12" s="44"/>
      <c r="G12" s="44" t="s">
        <v>614</v>
      </c>
      <c r="H12" s="39" t="s">
        <v>587</v>
      </c>
      <c r="I12" s="64">
        <v>12291813000167</v>
      </c>
      <c r="J12" s="85" t="s">
        <v>507</v>
      </c>
      <c r="K12" s="115" t="s">
        <v>42</v>
      </c>
      <c r="L12" s="46">
        <v>46265</v>
      </c>
      <c r="M12" s="47" t="s">
        <v>41</v>
      </c>
      <c r="N12" s="37" t="s">
        <v>39</v>
      </c>
      <c r="O12" s="37"/>
      <c r="P12" s="39" t="s">
        <v>294</v>
      </c>
      <c r="Q12" s="37"/>
      <c r="R12" s="43"/>
      <c r="S12" s="37"/>
      <c r="T12" s="40"/>
      <c r="U12" s="37"/>
      <c r="V12" s="43"/>
      <c r="W12" s="43"/>
      <c r="X12" s="37"/>
      <c r="Y12" s="39"/>
      <c r="Z12" s="58" t="s">
        <v>599</v>
      </c>
      <c r="AA12" s="39" t="s">
        <v>29</v>
      </c>
      <c r="AB12" s="39"/>
    </row>
    <row r="13" spans="1:31" ht="30" hidden="1" x14ac:dyDescent="0.25">
      <c r="B13" s="82" t="s">
        <v>276</v>
      </c>
      <c r="C13" s="37" t="s">
        <v>39</v>
      </c>
      <c r="D13" s="103" t="s">
        <v>440</v>
      </c>
      <c r="E13" s="123" t="s">
        <v>269</v>
      </c>
      <c r="F13" s="44"/>
      <c r="G13" s="44" t="s">
        <v>614</v>
      </c>
      <c r="H13" s="39" t="s">
        <v>587</v>
      </c>
      <c r="I13" s="64">
        <v>11450557000140</v>
      </c>
      <c r="J13" s="85" t="s">
        <v>507</v>
      </c>
      <c r="K13" s="115" t="s">
        <v>40</v>
      </c>
      <c r="L13" s="46">
        <v>46266</v>
      </c>
      <c r="M13" s="47" t="s">
        <v>41</v>
      </c>
      <c r="N13" s="37" t="s">
        <v>39</v>
      </c>
      <c r="O13" s="37"/>
      <c r="P13" s="39" t="s">
        <v>294</v>
      </c>
      <c r="Q13" s="37"/>
      <c r="R13" s="43"/>
      <c r="S13" s="37"/>
      <c r="T13" s="40"/>
      <c r="U13" s="37"/>
      <c r="V13" s="43"/>
      <c r="W13" s="43"/>
      <c r="X13" s="37"/>
      <c r="Y13" s="39"/>
      <c r="Z13" s="58" t="s">
        <v>599</v>
      </c>
      <c r="AA13" s="39" t="s">
        <v>29</v>
      </c>
      <c r="AB13" s="39"/>
    </row>
    <row r="14" spans="1:31" ht="23.25" hidden="1" customHeight="1" x14ac:dyDescent="0.25">
      <c r="B14" s="82" t="s">
        <v>276</v>
      </c>
      <c r="C14" s="37" t="s">
        <v>25</v>
      </c>
      <c r="D14" s="103" t="s">
        <v>426</v>
      </c>
      <c r="E14" s="123" t="s">
        <v>268</v>
      </c>
      <c r="F14" s="44"/>
      <c r="G14" s="44"/>
      <c r="H14" s="39" t="s">
        <v>26</v>
      </c>
      <c r="I14" s="64">
        <v>10668408000190</v>
      </c>
      <c r="J14" s="85" t="s">
        <v>553</v>
      </c>
      <c r="K14" s="115" t="s">
        <v>433</v>
      </c>
      <c r="L14" s="40">
        <v>45717</v>
      </c>
      <c r="M14" s="49" t="s">
        <v>438</v>
      </c>
      <c r="N14" s="37" t="s">
        <v>25</v>
      </c>
      <c r="O14" s="39"/>
      <c r="P14" s="47"/>
      <c r="Q14" s="39"/>
      <c r="R14" s="39"/>
      <c r="S14" s="39"/>
      <c r="T14" s="39"/>
      <c r="U14" s="39"/>
      <c r="V14" s="39"/>
      <c r="W14" s="39"/>
      <c r="X14" s="47"/>
      <c r="Y14" s="47"/>
      <c r="Z14" s="44" t="s">
        <v>534</v>
      </c>
      <c r="AA14" s="39" t="s">
        <v>29</v>
      </c>
      <c r="AB14" s="39"/>
    </row>
    <row r="15" spans="1:31" ht="29.25" hidden="1" customHeight="1" x14ac:dyDescent="0.25">
      <c r="B15" s="82"/>
      <c r="C15" s="37" t="s">
        <v>183</v>
      </c>
      <c r="D15" s="103" t="s">
        <v>64</v>
      </c>
      <c r="E15" s="123" t="s">
        <v>521</v>
      </c>
      <c r="F15" s="44"/>
      <c r="G15" s="39" t="s">
        <v>29</v>
      </c>
      <c r="H15" s="39" t="s">
        <v>587</v>
      </c>
      <c r="I15" s="71">
        <v>4740876000125</v>
      </c>
      <c r="J15" s="85" t="s">
        <v>513</v>
      </c>
      <c r="K15" s="115" t="s">
        <v>283</v>
      </c>
      <c r="L15" s="40" t="s">
        <v>26</v>
      </c>
      <c r="M15" s="57" t="s">
        <v>267</v>
      </c>
      <c r="N15" s="39" t="s">
        <v>183</v>
      </c>
      <c r="O15" s="37"/>
      <c r="P15" s="39" t="s">
        <v>294</v>
      </c>
      <c r="Q15" s="37"/>
      <c r="R15" s="43"/>
      <c r="S15" s="37"/>
      <c r="T15" s="40"/>
      <c r="U15" s="37"/>
      <c r="V15" s="43"/>
      <c r="W15" s="43"/>
      <c r="X15" s="37"/>
      <c r="Y15" s="39"/>
      <c r="Z15" s="44"/>
      <c r="AA15" s="39" t="s">
        <v>31</v>
      </c>
      <c r="AB15" s="118">
        <v>45717</v>
      </c>
    </row>
    <row r="16" spans="1:31" hidden="1" x14ac:dyDescent="0.25">
      <c r="B16" s="82" t="s">
        <v>276</v>
      </c>
      <c r="C16" s="37" t="s">
        <v>34</v>
      </c>
      <c r="D16" s="103" t="s">
        <v>35</v>
      </c>
      <c r="E16" s="123" t="s">
        <v>521</v>
      </c>
      <c r="F16" s="44" t="s">
        <v>555</v>
      </c>
      <c r="G16" s="39" t="s">
        <v>29</v>
      </c>
      <c r="H16" s="39" t="s">
        <v>26</v>
      </c>
      <c r="I16" s="64">
        <v>9719875000112</v>
      </c>
      <c r="J16" s="85" t="s">
        <v>565</v>
      </c>
      <c r="K16" s="115" t="s">
        <v>594</v>
      </c>
      <c r="L16" s="40" t="s">
        <v>26</v>
      </c>
      <c r="M16" s="41" t="s">
        <v>566</v>
      </c>
      <c r="N16" s="38" t="s">
        <v>34</v>
      </c>
      <c r="O16" s="37"/>
      <c r="P16" s="39"/>
      <c r="Q16" s="37"/>
      <c r="R16" s="43"/>
      <c r="S16" s="37"/>
      <c r="T16" s="40"/>
      <c r="U16" s="37"/>
      <c r="V16" s="43"/>
      <c r="W16" s="43"/>
      <c r="X16" s="37"/>
      <c r="Y16" s="39"/>
      <c r="Z16" s="44" t="s">
        <v>534</v>
      </c>
      <c r="AA16" s="39" t="s">
        <v>29</v>
      </c>
      <c r="AB16" s="39"/>
    </row>
    <row r="17" spans="1:54" ht="30" hidden="1" x14ac:dyDescent="0.25">
      <c r="B17" s="82" t="s">
        <v>276</v>
      </c>
      <c r="C17" s="37" t="s">
        <v>25</v>
      </c>
      <c r="D17" s="103" t="s">
        <v>439</v>
      </c>
      <c r="E17" s="124" t="s">
        <v>269</v>
      </c>
      <c r="F17" s="44"/>
      <c r="G17" s="39" t="s">
        <v>29</v>
      </c>
      <c r="H17" s="39" t="s">
        <v>26</v>
      </c>
      <c r="I17" s="64" t="s">
        <v>293</v>
      </c>
      <c r="J17" s="85" t="s">
        <v>553</v>
      </c>
      <c r="K17" s="115" t="s">
        <v>229</v>
      </c>
      <c r="L17" s="40" t="s">
        <v>26</v>
      </c>
      <c r="M17" s="56" t="s">
        <v>262</v>
      </c>
      <c r="N17" s="39" t="s">
        <v>61</v>
      </c>
      <c r="O17" s="37"/>
      <c r="P17" s="39" t="s">
        <v>294</v>
      </c>
      <c r="Q17" s="37"/>
      <c r="R17" s="43"/>
      <c r="S17" s="37"/>
      <c r="T17" s="40"/>
      <c r="U17" s="37"/>
      <c r="V17" s="43"/>
      <c r="W17" s="43"/>
      <c r="X17" s="37"/>
      <c r="Y17" s="39"/>
      <c r="Z17" s="44"/>
      <c r="AA17" s="39" t="s">
        <v>31</v>
      </c>
      <c r="AB17" s="118">
        <v>45717</v>
      </c>
    </row>
    <row r="18" spans="1:54" ht="29.25" customHeight="1" x14ac:dyDescent="0.25">
      <c r="B18" s="82" t="s">
        <v>276</v>
      </c>
      <c r="C18" s="37" t="s">
        <v>25</v>
      </c>
      <c r="D18" s="103" t="s">
        <v>439</v>
      </c>
      <c r="E18" s="124" t="s">
        <v>269</v>
      </c>
      <c r="F18" s="44"/>
      <c r="G18" s="39" t="s">
        <v>31</v>
      </c>
      <c r="H18" s="39" t="s">
        <v>587</v>
      </c>
      <c r="I18" s="64">
        <v>1685053000156</v>
      </c>
      <c r="J18" s="85" t="s">
        <v>508</v>
      </c>
      <c r="K18" s="115" t="s">
        <v>454</v>
      </c>
      <c r="L18" s="46">
        <v>45778</v>
      </c>
      <c r="M18" s="47" t="s">
        <v>457</v>
      </c>
      <c r="N18" s="37" t="s">
        <v>25</v>
      </c>
      <c r="O18" s="37" t="s">
        <v>29</v>
      </c>
      <c r="P18" s="39" t="s">
        <v>295</v>
      </c>
      <c r="Q18" s="37"/>
      <c r="R18" s="43"/>
      <c r="S18" s="37"/>
      <c r="T18" s="40"/>
      <c r="U18" s="37"/>
      <c r="V18" s="43"/>
      <c r="W18" s="43"/>
      <c r="X18" s="37"/>
      <c r="Y18" s="39"/>
      <c r="Z18" s="44" t="s">
        <v>598</v>
      </c>
      <c r="AA18" s="39" t="s">
        <v>31</v>
      </c>
      <c r="AB18" s="39" t="s">
        <v>602</v>
      </c>
    </row>
    <row r="19" spans="1:54" ht="23.25" customHeight="1" x14ac:dyDescent="0.25">
      <c r="B19" s="82" t="s">
        <v>276</v>
      </c>
      <c r="C19" s="37" t="s">
        <v>25</v>
      </c>
      <c r="D19" s="103" t="s">
        <v>439</v>
      </c>
      <c r="E19" s="124" t="s">
        <v>269</v>
      </c>
      <c r="F19" s="44"/>
      <c r="G19" s="39" t="s">
        <v>31</v>
      </c>
      <c r="H19" s="39" t="s">
        <v>587</v>
      </c>
      <c r="I19" s="64">
        <v>89623375000111</v>
      </c>
      <c r="J19" s="85" t="s">
        <v>508</v>
      </c>
      <c r="K19" s="115" t="s">
        <v>455</v>
      </c>
      <c r="L19" s="46">
        <v>45809</v>
      </c>
      <c r="M19" s="47" t="s">
        <v>459</v>
      </c>
      <c r="N19" s="37" t="s">
        <v>25</v>
      </c>
      <c r="O19" s="37"/>
      <c r="P19" s="39"/>
      <c r="Q19" s="37"/>
      <c r="R19" s="43"/>
      <c r="S19" s="37"/>
      <c r="T19" s="40"/>
      <c r="U19" s="37"/>
      <c r="V19" s="43"/>
      <c r="W19" s="43"/>
      <c r="X19" s="37"/>
      <c r="Y19" s="39"/>
      <c r="Z19" s="44" t="s">
        <v>534</v>
      </c>
      <c r="AA19" s="39" t="s">
        <v>29</v>
      </c>
      <c r="AB19" s="39"/>
    </row>
    <row r="20" spans="1:54" ht="27" hidden="1" customHeight="1" x14ac:dyDescent="0.25">
      <c r="B20" s="82" t="s">
        <v>276</v>
      </c>
      <c r="C20" s="37" t="s">
        <v>25</v>
      </c>
      <c r="D20" s="103" t="s">
        <v>439</v>
      </c>
      <c r="E20" s="124" t="s">
        <v>269</v>
      </c>
      <c r="F20" s="44" t="s">
        <v>450</v>
      </c>
      <c r="G20" s="39" t="s">
        <v>29</v>
      </c>
      <c r="H20" s="39" t="s">
        <v>26</v>
      </c>
      <c r="I20" s="64">
        <v>3621867000152</v>
      </c>
      <c r="J20" s="85" t="s">
        <v>513</v>
      </c>
      <c r="K20" s="115" t="s">
        <v>55</v>
      </c>
      <c r="L20" s="46">
        <v>46329</v>
      </c>
      <c r="M20" s="47" t="s">
        <v>56</v>
      </c>
      <c r="N20" s="37" t="s">
        <v>25</v>
      </c>
      <c r="O20" s="37"/>
      <c r="P20" s="39" t="s">
        <v>294</v>
      </c>
      <c r="Q20" s="37"/>
      <c r="R20" s="43"/>
      <c r="S20" s="37"/>
      <c r="T20" s="40"/>
      <c r="U20" s="37"/>
      <c r="V20" s="43"/>
      <c r="W20" s="43"/>
      <c r="X20" s="37"/>
      <c r="Y20" s="39"/>
      <c r="Z20" s="44" t="s">
        <v>534</v>
      </c>
      <c r="AA20" s="39" t="s">
        <v>31</v>
      </c>
      <c r="AB20" s="118">
        <v>45717</v>
      </c>
    </row>
    <row r="21" spans="1:54" ht="19.5" hidden="1" customHeight="1" x14ac:dyDescent="0.25">
      <c r="B21" s="82" t="s">
        <v>276</v>
      </c>
      <c r="C21" s="37" t="s">
        <v>25</v>
      </c>
      <c r="D21" s="120" t="s">
        <v>439</v>
      </c>
      <c r="E21" s="124" t="s">
        <v>268</v>
      </c>
      <c r="F21" s="44"/>
      <c r="G21" s="44"/>
      <c r="H21" s="39" t="s">
        <v>26</v>
      </c>
      <c r="I21" s="73">
        <v>44771490000103</v>
      </c>
      <c r="J21" s="85" t="s">
        <v>552</v>
      </c>
      <c r="K21" s="115" t="s">
        <v>600</v>
      </c>
      <c r="L21" s="46">
        <v>45764</v>
      </c>
      <c r="M21" s="47" t="s">
        <v>456</v>
      </c>
      <c r="N21" s="37" t="s">
        <v>25</v>
      </c>
      <c r="O21" s="37"/>
      <c r="P21" s="39"/>
      <c r="Q21" s="37"/>
      <c r="R21" s="43"/>
      <c r="S21" s="37"/>
      <c r="T21" s="40"/>
      <c r="U21" s="37"/>
      <c r="V21" s="43"/>
      <c r="W21" s="43"/>
      <c r="X21" s="37"/>
      <c r="Y21" s="39"/>
      <c r="Z21" s="44" t="s">
        <v>534</v>
      </c>
      <c r="AA21" s="39" t="s">
        <v>29</v>
      </c>
      <c r="AB21" s="39"/>
    </row>
    <row r="22" spans="1:54" ht="30" hidden="1" x14ac:dyDescent="0.25">
      <c r="B22" s="82" t="s">
        <v>276</v>
      </c>
      <c r="C22" s="37" t="s">
        <v>34</v>
      </c>
      <c r="D22" s="103" t="s">
        <v>567</v>
      </c>
      <c r="E22" s="123" t="s">
        <v>521</v>
      </c>
      <c r="F22" s="44" t="s">
        <v>559</v>
      </c>
      <c r="G22" s="39" t="s">
        <v>29</v>
      </c>
      <c r="H22" s="39" t="s">
        <v>26</v>
      </c>
      <c r="I22" s="64"/>
      <c r="J22" s="85" t="s">
        <v>552</v>
      </c>
      <c r="K22" s="115" t="s">
        <v>467</v>
      </c>
      <c r="L22" s="40" t="s">
        <v>26</v>
      </c>
      <c r="M22" s="41" t="s">
        <v>474</v>
      </c>
      <c r="N22" s="38" t="s">
        <v>34</v>
      </c>
      <c r="O22" s="37"/>
      <c r="P22" s="39"/>
      <c r="Q22" s="37"/>
      <c r="R22" s="43"/>
      <c r="S22" s="37"/>
      <c r="T22" s="40"/>
      <c r="U22" s="37"/>
      <c r="V22" s="43"/>
      <c r="W22" s="43"/>
      <c r="X22" s="37"/>
      <c r="Y22" s="39"/>
      <c r="Z22" s="44" t="s">
        <v>534</v>
      </c>
      <c r="AA22" s="39" t="s">
        <v>29</v>
      </c>
      <c r="AB22" s="39"/>
    </row>
    <row r="23" spans="1:54" ht="23.25" hidden="1" customHeight="1" x14ac:dyDescent="0.25">
      <c r="B23" s="82" t="s">
        <v>276</v>
      </c>
      <c r="C23" s="37" t="s">
        <v>25</v>
      </c>
      <c r="D23" s="103" t="s">
        <v>426</v>
      </c>
      <c r="E23" s="124" t="s">
        <v>268</v>
      </c>
      <c r="F23" s="44"/>
      <c r="G23" s="44"/>
      <c r="H23" s="39">
        <v>4600002919</v>
      </c>
      <c r="I23" s="64" t="s">
        <v>597</v>
      </c>
      <c r="J23" s="85" t="s">
        <v>432</v>
      </c>
      <c r="K23" s="115" t="s">
        <v>432</v>
      </c>
      <c r="L23" s="40" t="s">
        <v>247</v>
      </c>
      <c r="M23" s="119" t="s">
        <v>437</v>
      </c>
      <c r="N23" s="37" t="s">
        <v>25</v>
      </c>
      <c r="O23" s="37"/>
      <c r="P23" s="39"/>
      <c r="Q23" s="37"/>
      <c r="R23" s="43"/>
      <c r="S23" s="37"/>
      <c r="T23" s="40"/>
      <c r="U23" s="37"/>
      <c r="V23" s="43"/>
      <c r="W23" s="43"/>
      <c r="X23" s="37"/>
      <c r="Y23" s="39"/>
      <c r="Z23" s="44" t="s">
        <v>601</v>
      </c>
      <c r="AA23" s="39" t="s">
        <v>31</v>
      </c>
      <c r="AB23" s="118">
        <v>45717</v>
      </c>
    </row>
    <row r="24" spans="1:54" ht="30" hidden="1" x14ac:dyDescent="0.25">
      <c r="B24" s="82" t="s">
        <v>276</v>
      </c>
      <c r="C24" s="37" t="s">
        <v>34</v>
      </c>
      <c r="D24" s="103" t="s">
        <v>35</v>
      </c>
      <c r="E24" s="123" t="s">
        <v>521</v>
      </c>
      <c r="F24" s="44" t="s">
        <v>555</v>
      </c>
      <c r="G24" s="39" t="s">
        <v>29</v>
      </c>
      <c r="H24" s="39">
        <v>4600002668</v>
      </c>
      <c r="I24" s="64">
        <v>26725746000156</v>
      </c>
      <c r="J24" s="85" t="s">
        <v>569</v>
      </c>
      <c r="K24" s="115" t="s">
        <v>556</v>
      </c>
      <c r="L24" s="40" t="s">
        <v>118</v>
      </c>
      <c r="M24" s="41" t="s">
        <v>557</v>
      </c>
      <c r="N24" s="38" t="s">
        <v>34</v>
      </c>
      <c r="O24" s="37"/>
      <c r="P24" s="39"/>
      <c r="Q24" s="37"/>
      <c r="R24" s="43"/>
      <c r="S24" s="50"/>
      <c r="T24" s="51"/>
      <c r="U24" s="37"/>
      <c r="V24" s="43"/>
      <c r="W24" s="43"/>
      <c r="X24" s="37"/>
      <c r="Y24" s="39"/>
      <c r="Z24" s="44" t="s">
        <v>534</v>
      </c>
      <c r="AA24" s="39" t="s">
        <v>31</v>
      </c>
      <c r="AB24" s="118">
        <v>45717</v>
      </c>
    </row>
    <row r="25" spans="1:54" ht="30" hidden="1" x14ac:dyDescent="0.25">
      <c r="B25" s="82" t="s">
        <v>276</v>
      </c>
      <c r="C25" s="37" t="s">
        <v>159</v>
      </c>
      <c r="D25" s="103" t="s">
        <v>129</v>
      </c>
      <c r="E25" s="123" t="s">
        <v>521</v>
      </c>
      <c r="F25" s="44" t="s">
        <v>523</v>
      </c>
      <c r="G25" s="39" t="s">
        <v>29</v>
      </c>
      <c r="H25" s="39">
        <v>4600002881</v>
      </c>
      <c r="I25" s="64">
        <v>30714185000167</v>
      </c>
      <c r="J25" s="85" t="s">
        <v>512</v>
      </c>
      <c r="K25" s="115" t="s">
        <v>232</v>
      </c>
      <c r="L25" s="40" t="s">
        <v>118</v>
      </c>
      <c r="M25" s="56" t="s">
        <v>233</v>
      </c>
      <c r="N25" s="39" t="s">
        <v>95</v>
      </c>
      <c r="O25" s="37"/>
      <c r="P25" s="39" t="s">
        <v>294</v>
      </c>
      <c r="Q25" s="37"/>
      <c r="R25" s="43"/>
      <c r="S25" s="37"/>
      <c r="T25" s="40"/>
      <c r="U25" s="37"/>
      <c r="V25" s="43"/>
      <c r="W25" s="43"/>
      <c r="X25" s="37"/>
      <c r="Y25" s="39"/>
      <c r="Z25" s="44"/>
      <c r="AA25" s="39" t="s">
        <v>31</v>
      </c>
      <c r="AB25" s="118">
        <v>45717</v>
      </c>
    </row>
    <row r="26" spans="1:54" s="17" customFormat="1" ht="30" hidden="1" x14ac:dyDescent="0.25">
      <c r="A26" s="1"/>
      <c r="B26" s="82" t="s">
        <v>276</v>
      </c>
      <c r="C26" s="37" t="s">
        <v>159</v>
      </c>
      <c r="D26" s="103" t="s">
        <v>129</v>
      </c>
      <c r="E26" s="123" t="s">
        <v>521</v>
      </c>
      <c r="F26" s="44" t="s">
        <v>523</v>
      </c>
      <c r="G26" s="39" t="s">
        <v>29</v>
      </c>
      <c r="H26" s="39">
        <v>4600002789</v>
      </c>
      <c r="I26" s="64">
        <v>9411517000148</v>
      </c>
      <c r="J26" s="85" t="s">
        <v>552</v>
      </c>
      <c r="K26" s="115" t="s">
        <v>249</v>
      </c>
      <c r="L26" s="40" t="s">
        <v>235</v>
      </c>
      <c r="M26" s="56" t="s">
        <v>250</v>
      </c>
      <c r="N26" s="39" t="s">
        <v>66</v>
      </c>
      <c r="O26" s="37"/>
      <c r="P26" s="39" t="s">
        <v>294</v>
      </c>
      <c r="Q26" s="37"/>
      <c r="R26" s="43"/>
      <c r="S26" s="37"/>
      <c r="T26" s="40"/>
      <c r="U26" s="37"/>
      <c r="V26" s="43"/>
      <c r="W26" s="43"/>
      <c r="X26" s="37"/>
      <c r="Y26" s="39"/>
      <c r="Z26" s="44"/>
      <c r="AA26" s="39" t="s">
        <v>31</v>
      </c>
      <c r="AB26" s="118">
        <v>45717</v>
      </c>
      <c r="AC26" s="1"/>
      <c r="AD26" s="1"/>
      <c r="AE26" s="69"/>
      <c r="AF26" s="69"/>
      <c r="AG26" s="1"/>
      <c r="AH26" s="1"/>
      <c r="AI26" s="69"/>
      <c r="AJ26" s="69"/>
      <c r="AK26" s="1"/>
      <c r="AL26" s="1"/>
      <c r="AM26" s="1"/>
      <c r="AN26" s="69"/>
      <c r="AO26" s="69"/>
      <c r="AP26" s="69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30" hidden="1" x14ac:dyDescent="0.25">
      <c r="B27" s="82" t="s">
        <v>276</v>
      </c>
      <c r="C27" s="37" t="s">
        <v>159</v>
      </c>
      <c r="D27" s="103" t="s">
        <v>129</v>
      </c>
      <c r="E27" s="123" t="s">
        <v>521</v>
      </c>
      <c r="F27" s="44" t="s">
        <v>523</v>
      </c>
      <c r="G27" s="39" t="s">
        <v>29</v>
      </c>
      <c r="H27" s="39">
        <v>4600002808</v>
      </c>
      <c r="I27" s="64">
        <v>7093382000194</v>
      </c>
      <c r="J27" s="85" t="s">
        <v>552</v>
      </c>
      <c r="K27" s="115" t="s">
        <v>246</v>
      </c>
      <c r="L27" s="40" t="s">
        <v>235</v>
      </c>
      <c r="M27" s="56" t="s">
        <v>248</v>
      </c>
      <c r="N27" s="39" t="s">
        <v>66</v>
      </c>
      <c r="O27" s="37"/>
      <c r="P27" s="39" t="s">
        <v>294</v>
      </c>
      <c r="Q27" s="37"/>
      <c r="R27" s="43"/>
      <c r="S27" s="37"/>
      <c r="T27" s="40"/>
      <c r="U27" s="37"/>
      <c r="V27" s="43"/>
      <c r="W27" s="43"/>
      <c r="X27" s="37"/>
      <c r="Y27" s="39"/>
      <c r="Z27" s="44"/>
      <c r="AA27" s="39" t="s">
        <v>31</v>
      </c>
      <c r="AB27" s="118">
        <v>45717</v>
      </c>
    </row>
    <row r="28" spans="1:54" ht="22.5" hidden="1" customHeight="1" x14ac:dyDescent="0.25">
      <c r="B28" s="82" t="s">
        <v>276</v>
      </c>
      <c r="C28" s="37" t="s">
        <v>25</v>
      </c>
      <c r="D28" s="103" t="s">
        <v>426</v>
      </c>
      <c r="E28" s="124" t="s">
        <v>269</v>
      </c>
      <c r="F28" s="44" t="s">
        <v>428</v>
      </c>
      <c r="G28" s="39" t="s">
        <v>29</v>
      </c>
      <c r="H28" s="39">
        <v>4600002967</v>
      </c>
      <c r="I28" s="64">
        <v>24531339000182</v>
      </c>
      <c r="J28" s="85" t="s">
        <v>577</v>
      </c>
      <c r="K28" s="101" t="s">
        <v>369</v>
      </c>
      <c r="L28" s="40">
        <v>46266</v>
      </c>
      <c r="M28" s="49" t="s">
        <v>167</v>
      </c>
      <c r="N28" s="38" t="s">
        <v>61</v>
      </c>
      <c r="O28" s="37" t="s">
        <v>29</v>
      </c>
      <c r="P28" s="39" t="s">
        <v>10</v>
      </c>
      <c r="Q28" s="37" t="s">
        <v>29</v>
      </c>
      <c r="R28" s="43" t="s">
        <v>26</v>
      </c>
      <c r="S28" s="50" t="s">
        <v>29</v>
      </c>
      <c r="T28" s="51" t="s">
        <v>26</v>
      </c>
      <c r="U28" s="37" t="s">
        <v>31</v>
      </c>
      <c r="V28" s="43">
        <v>9</v>
      </c>
      <c r="W28" s="43" t="s">
        <v>26</v>
      </c>
      <c r="X28" s="37" t="s">
        <v>31</v>
      </c>
      <c r="Y28" s="39" t="s">
        <v>32</v>
      </c>
      <c r="Z28" s="44" t="s">
        <v>168</v>
      </c>
      <c r="AA28" s="39" t="s">
        <v>31</v>
      </c>
      <c r="AB28" s="118">
        <v>45658</v>
      </c>
    </row>
    <row r="29" spans="1:54" ht="24" hidden="1" customHeight="1" x14ac:dyDescent="0.25">
      <c r="B29" s="82" t="s">
        <v>276</v>
      </c>
      <c r="C29" s="37" t="s">
        <v>25</v>
      </c>
      <c r="D29" s="103" t="s">
        <v>426</v>
      </c>
      <c r="E29" s="124" t="s">
        <v>268</v>
      </c>
      <c r="F29" s="44"/>
      <c r="G29" s="44"/>
      <c r="H29" s="39" t="s">
        <v>239</v>
      </c>
      <c r="I29" s="73">
        <v>11976779000100</v>
      </c>
      <c r="J29" s="85" t="s">
        <v>552</v>
      </c>
      <c r="K29" s="115" t="s">
        <v>431</v>
      </c>
      <c r="L29" s="40" t="s">
        <v>434</v>
      </c>
      <c r="M29" s="49" t="s">
        <v>436</v>
      </c>
      <c r="N29" s="37" t="s">
        <v>25</v>
      </c>
      <c r="O29" s="37"/>
      <c r="P29" s="39"/>
      <c r="Q29" s="37"/>
      <c r="R29" s="43"/>
      <c r="S29" s="37"/>
      <c r="T29" s="40"/>
      <c r="U29" s="37"/>
      <c r="V29" s="43"/>
      <c r="W29" s="43"/>
      <c r="X29" s="37"/>
      <c r="Y29" s="39"/>
      <c r="Z29" s="44" t="s">
        <v>590</v>
      </c>
      <c r="AA29" s="39" t="s">
        <v>31</v>
      </c>
      <c r="AB29" s="118">
        <v>45717</v>
      </c>
    </row>
    <row r="30" spans="1:54" ht="27" hidden="1" customHeight="1" x14ac:dyDescent="0.25">
      <c r="B30" s="82" t="s">
        <v>276</v>
      </c>
      <c r="C30" s="37" t="s">
        <v>25</v>
      </c>
      <c r="D30" s="103" t="s">
        <v>426</v>
      </c>
      <c r="E30" s="124" t="s">
        <v>269</v>
      </c>
      <c r="F30" s="44" t="s">
        <v>503</v>
      </c>
      <c r="G30" s="39" t="s">
        <v>29</v>
      </c>
      <c r="H30" s="39">
        <v>4600002739</v>
      </c>
      <c r="I30" s="64">
        <v>7761689000116</v>
      </c>
      <c r="J30" s="85" t="s">
        <v>573</v>
      </c>
      <c r="K30" s="101" t="s">
        <v>340</v>
      </c>
      <c r="L30" s="40">
        <v>46183</v>
      </c>
      <c r="M30" s="49" t="s">
        <v>574</v>
      </c>
      <c r="N30" s="38" t="s">
        <v>61</v>
      </c>
      <c r="O30" s="37" t="s">
        <v>31</v>
      </c>
      <c r="P30" s="39" t="s">
        <v>294</v>
      </c>
      <c r="Q30" s="37" t="s">
        <v>29</v>
      </c>
      <c r="R30" s="43" t="s">
        <v>26</v>
      </c>
      <c r="S30" s="50" t="s">
        <v>29</v>
      </c>
      <c r="T30" s="51" t="s">
        <v>26</v>
      </c>
      <c r="U30" s="37" t="s">
        <v>209</v>
      </c>
      <c r="V30" s="43">
        <v>10.199999999999999</v>
      </c>
      <c r="W30" s="43">
        <v>30</v>
      </c>
      <c r="X30" s="37" t="s">
        <v>29</v>
      </c>
      <c r="Y30" s="39" t="s">
        <v>26</v>
      </c>
      <c r="Z30" s="44"/>
      <c r="AA30" s="39" t="s">
        <v>31</v>
      </c>
      <c r="AB30" s="118">
        <v>45658</v>
      </c>
    </row>
    <row r="31" spans="1:54" ht="19.5" hidden="1" customHeight="1" x14ac:dyDescent="0.25">
      <c r="B31" s="82" t="s">
        <v>276</v>
      </c>
      <c r="C31" s="37" t="s">
        <v>25</v>
      </c>
      <c r="D31" s="103" t="s">
        <v>426</v>
      </c>
      <c r="E31" s="124" t="s">
        <v>268</v>
      </c>
      <c r="F31" s="44" t="s">
        <v>427</v>
      </c>
      <c r="G31" s="44"/>
      <c r="H31" s="39">
        <v>4600002868</v>
      </c>
      <c r="I31" s="64">
        <v>20893135000130</v>
      </c>
      <c r="J31" s="85" t="s">
        <v>552</v>
      </c>
      <c r="K31" s="101" t="s">
        <v>359</v>
      </c>
      <c r="L31" s="40">
        <v>45869</v>
      </c>
      <c r="M31" s="49" t="s">
        <v>171</v>
      </c>
      <c r="N31" s="38" t="s">
        <v>61</v>
      </c>
      <c r="O31" s="37" t="s">
        <v>29</v>
      </c>
      <c r="P31" s="39" t="s">
        <v>10</v>
      </c>
      <c r="Q31" s="37" t="s">
        <v>29</v>
      </c>
      <c r="R31" s="43" t="s">
        <v>26</v>
      </c>
      <c r="S31" s="50" t="s">
        <v>29</v>
      </c>
      <c r="T31" s="51" t="s">
        <v>26</v>
      </c>
      <c r="U31" s="37" t="s">
        <v>31</v>
      </c>
      <c r="V31" s="43" t="s">
        <v>172</v>
      </c>
      <c r="W31" s="43">
        <v>60</v>
      </c>
      <c r="X31" s="37" t="s">
        <v>29</v>
      </c>
      <c r="Y31" s="39" t="s">
        <v>26</v>
      </c>
      <c r="Z31" s="44"/>
      <c r="AA31" s="39" t="s">
        <v>31</v>
      </c>
      <c r="AB31" s="118">
        <v>45658</v>
      </c>
    </row>
    <row r="32" spans="1:54" ht="45" hidden="1" x14ac:dyDescent="0.25">
      <c r="B32" s="82" t="s">
        <v>276</v>
      </c>
      <c r="C32" s="37" t="s">
        <v>34</v>
      </c>
      <c r="D32" s="103" t="s">
        <v>35</v>
      </c>
      <c r="E32" s="123" t="s">
        <v>521</v>
      </c>
      <c r="F32" s="44" t="s">
        <v>555</v>
      </c>
      <c r="G32" s="39" t="s">
        <v>29</v>
      </c>
      <c r="H32" s="39">
        <v>4600002331</v>
      </c>
      <c r="I32" s="64">
        <v>5250796000154</v>
      </c>
      <c r="J32" s="85" t="s">
        <v>478</v>
      </c>
      <c r="K32" s="115" t="s">
        <v>463</v>
      </c>
      <c r="L32" s="40" t="s">
        <v>468</v>
      </c>
      <c r="M32" s="41" t="s">
        <v>470</v>
      </c>
      <c r="N32" s="38" t="s">
        <v>34</v>
      </c>
      <c r="O32" s="37"/>
      <c r="P32" s="39"/>
      <c r="Q32" s="37"/>
      <c r="R32" s="43"/>
      <c r="S32" s="37"/>
      <c r="T32" s="40"/>
      <c r="U32" s="37"/>
      <c r="V32" s="43"/>
      <c r="W32" s="43"/>
      <c r="X32" s="37"/>
      <c r="Y32" s="39"/>
      <c r="Z32" s="44" t="s">
        <v>591</v>
      </c>
      <c r="AA32" s="39" t="s">
        <v>31</v>
      </c>
      <c r="AB32" s="118">
        <v>45717</v>
      </c>
    </row>
    <row r="33" spans="1:54" ht="30" hidden="1" x14ac:dyDescent="0.25">
      <c r="B33" s="82" t="s">
        <v>276</v>
      </c>
      <c r="C33" s="37" t="s">
        <v>25</v>
      </c>
      <c r="D33" s="103" t="s">
        <v>426</v>
      </c>
      <c r="E33" s="124" t="s">
        <v>269</v>
      </c>
      <c r="F33" s="44" t="s">
        <v>429</v>
      </c>
      <c r="G33" s="39" t="s">
        <v>29</v>
      </c>
      <c r="H33" s="39">
        <v>4600003007</v>
      </c>
      <c r="I33" s="64">
        <v>6303549000131</v>
      </c>
      <c r="J33" s="85" t="s">
        <v>578</v>
      </c>
      <c r="K33" s="101" t="s">
        <v>337</v>
      </c>
      <c r="L33" s="40">
        <v>46183</v>
      </c>
      <c r="M33" s="45" t="s">
        <v>212</v>
      </c>
      <c r="N33" s="38" t="s">
        <v>61</v>
      </c>
      <c r="O33" s="37" t="s">
        <v>31</v>
      </c>
      <c r="P33" s="39" t="s">
        <v>294</v>
      </c>
      <c r="Q33" s="37" t="s">
        <v>29</v>
      </c>
      <c r="R33" s="43" t="s">
        <v>26</v>
      </c>
      <c r="S33" s="50" t="s">
        <v>29</v>
      </c>
      <c r="T33" s="51" t="s">
        <v>26</v>
      </c>
      <c r="U33" s="37" t="s">
        <v>209</v>
      </c>
      <c r="V33" s="43">
        <v>10.199999999999999</v>
      </c>
      <c r="W33" s="43">
        <v>30</v>
      </c>
      <c r="X33" s="37" t="s">
        <v>29</v>
      </c>
      <c r="Y33" s="39" t="s">
        <v>26</v>
      </c>
      <c r="Z33" s="44"/>
      <c r="AA33" s="39" t="s">
        <v>31</v>
      </c>
      <c r="AB33" s="118">
        <v>45658</v>
      </c>
    </row>
    <row r="34" spans="1:54" ht="23.25" hidden="1" customHeight="1" x14ac:dyDescent="0.25">
      <c r="B34" s="82" t="s">
        <v>276</v>
      </c>
      <c r="C34" s="37" t="s">
        <v>25</v>
      </c>
      <c r="D34" s="103" t="s">
        <v>426</v>
      </c>
      <c r="E34" s="124" t="s">
        <v>268</v>
      </c>
      <c r="F34" s="44" t="s">
        <v>427</v>
      </c>
      <c r="G34" s="44"/>
      <c r="H34" s="39">
        <v>4600002985</v>
      </c>
      <c r="I34" s="64">
        <v>35918663000174</v>
      </c>
      <c r="J34" s="85" t="s">
        <v>553</v>
      </c>
      <c r="K34" s="101" t="s">
        <v>414</v>
      </c>
      <c r="L34" s="40">
        <v>46191</v>
      </c>
      <c r="M34" s="49" t="s">
        <v>119</v>
      </c>
      <c r="N34" s="38" t="s">
        <v>61</v>
      </c>
      <c r="O34" s="37" t="s">
        <v>29</v>
      </c>
      <c r="P34" s="39" t="s">
        <v>10</v>
      </c>
      <c r="Q34" s="37" t="s">
        <v>31</v>
      </c>
      <c r="R34" s="43">
        <v>8.5</v>
      </c>
      <c r="S34" s="37" t="s">
        <v>31</v>
      </c>
      <c r="T34" s="40" t="s">
        <v>147</v>
      </c>
      <c r="U34" s="37" t="s">
        <v>31</v>
      </c>
      <c r="V34" s="43" t="s">
        <v>148</v>
      </c>
      <c r="W34" s="43">
        <v>30</v>
      </c>
      <c r="X34" s="37" t="s">
        <v>29</v>
      </c>
      <c r="Y34" s="39" t="s">
        <v>26</v>
      </c>
      <c r="Z34" s="44"/>
      <c r="AA34" s="39" t="s">
        <v>31</v>
      </c>
      <c r="AB34" s="118">
        <v>45658</v>
      </c>
    </row>
    <row r="35" spans="1:54" ht="30" hidden="1" x14ac:dyDescent="0.25">
      <c r="B35" s="82" t="s">
        <v>276</v>
      </c>
      <c r="C35" s="37" t="s">
        <v>39</v>
      </c>
      <c r="D35" s="103" t="s">
        <v>440</v>
      </c>
      <c r="E35" s="123" t="s">
        <v>269</v>
      </c>
      <c r="F35" s="44"/>
      <c r="G35" s="44" t="s">
        <v>614</v>
      </c>
      <c r="H35" s="39" t="s">
        <v>587</v>
      </c>
      <c r="I35" s="64">
        <v>7537433000120</v>
      </c>
      <c r="J35" s="85" t="s">
        <v>507</v>
      </c>
      <c r="K35" s="115" t="s">
        <v>441</v>
      </c>
      <c r="L35" s="46">
        <v>46661</v>
      </c>
      <c r="M35" s="47" t="s">
        <v>41</v>
      </c>
      <c r="N35" s="37" t="s">
        <v>39</v>
      </c>
      <c r="O35" s="37"/>
      <c r="P35" s="39"/>
      <c r="Q35" s="37"/>
      <c r="R35" s="43"/>
      <c r="S35" s="37"/>
      <c r="T35" s="40"/>
      <c r="U35" s="37"/>
      <c r="V35" s="43"/>
      <c r="W35" s="43"/>
      <c r="X35" s="37"/>
      <c r="Y35" s="39"/>
      <c r="Z35" s="44" t="s">
        <v>536</v>
      </c>
      <c r="AA35" s="39" t="s">
        <v>31</v>
      </c>
      <c r="AB35" s="118">
        <v>45717</v>
      </c>
    </row>
    <row r="36" spans="1:54" ht="30" hidden="1" x14ac:dyDescent="0.25">
      <c r="B36" s="82" t="s">
        <v>276</v>
      </c>
      <c r="C36" s="37" t="s">
        <v>39</v>
      </c>
      <c r="D36" s="103" t="s">
        <v>440</v>
      </c>
      <c r="E36" s="124" t="s">
        <v>269</v>
      </c>
      <c r="F36" s="44"/>
      <c r="G36" s="44" t="s">
        <v>614</v>
      </c>
      <c r="H36" s="39" t="s">
        <v>587</v>
      </c>
      <c r="I36" s="64">
        <v>22158634000100</v>
      </c>
      <c r="J36" s="85" t="s">
        <v>507</v>
      </c>
      <c r="K36" s="115" t="s">
        <v>546</v>
      </c>
      <c r="L36" s="46">
        <v>45777</v>
      </c>
      <c r="M36" s="47" t="s">
        <v>41</v>
      </c>
      <c r="N36" s="37" t="s">
        <v>39</v>
      </c>
      <c r="O36" s="37"/>
      <c r="P36" s="39"/>
      <c r="Q36" s="37"/>
      <c r="R36" s="43"/>
      <c r="S36" s="37"/>
      <c r="T36" s="40"/>
      <c r="U36" s="37"/>
      <c r="V36" s="43"/>
      <c r="W36" s="43"/>
      <c r="X36" s="37"/>
      <c r="Y36" s="39"/>
      <c r="Z36" s="44" t="s">
        <v>536</v>
      </c>
      <c r="AA36" s="39" t="s">
        <v>31</v>
      </c>
      <c r="AB36" s="118">
        <v>45717</v>
      </c>
    </row>
    <row r="37" spans="1:54" ht="30.75" hidden="1" customHeight="1" x14ac:dyDescent="0.25">
      <c r="B37" s="82" t="s">
        <v>276</v>
      </c>
      <c r="C37" s="37" t="s">
        <v>25</v>
      </c>
      <c r="D37" s="121" t="s">
        <v>572</v>
      </c>
      <c r="E37" s="123" t="s">
        <v>271</v>
      </c>
      <c r="F37" s="44"/>
      <c r="G37" s="39" t="s">
        <v>29</v>
      </c>
      <c r="H37" s="84">
        <v>4600002659</v>
      </c>
      <c r="I37" s="85">
        <v>5563165000195</v>
      </c>
      <c r="J37" s="85" t="s">
        <v>552</v>
      </c>
      <c r="K37" s="116" t="s">
        <v>333</v>
      </c>
      <c r="L37" s="86">
        <v>46234</v>
      </c>
      <c r="M37" s="87" t="s">
        <v>127</v>
      </c>
      <c r="N37" s="38" t="s">
        <v>61</v>
      </c>
      <c r="O37" s="88" t="s">
        <v>29</v>
      </c>
      <c r="P37" s="77" t="s">
        <v>295</v>
      </c>
      <c r="Q37" s="88" t="s">
        <v>29</v>
      </c>
      <c r="R37" s="89" t="s">
        <v>26</v>
      </c>
      <c r="S37" s="88" t="s">
        <v>29</v>
      </c>
      <c r="T37" s="86" t="s">
        <v>26</v>
      </c>
      <c r="U37" s="88" t="s">
        <v>31</v>
      </c>
      <c r="V37" s="89">
        <v>11.2</v>
      </c>
      <c r="W37" s="89">
        <v>30</v>
      </c>
      <c r="X37" s="88" t="s">
        <v>29</v>
      </c>
      <c r="Y37" s="77" t="s">
        <v>26</v>
      </c>
      <c r="Z37" s="79"/>
      <c r="AA37" s="77" t="s">
        <v>31</v>
      </c>
      <c r="AB37" s="118">
        <v>45658</v>
      </c>
    </row>
    <row r="38" spans="1:54" ht="36.75" hidden="1" customHeight="1" x14ac:dyDescent="0.25">
      <c r="B38" s="82" t="s">
        <v>276</v>
      </c>
      <c r="C38" s="37" t="s">
        <v>25</v>
      </c>
      <c r="D38" s="121" t="s">
        <v>583</v>
      </c>
      <c r="E38" s="123" t="s">
        <v>521</v>
      </c>
      <c r="F38" s="44" t="s">
        <v>523</v>
      </c>
      <c r="G38" s="39" t="s">
        <v>29</v>
      </c>
      <c r="H38" s="39">
        <v>4600003006</v>
      </c>
      <c r="I38" s="64">
        <v>33792914000191</v>
      </c>
      <c r="J38" s="85" t="s">
        <v>552</v>
      </c>
      <c r="K38" s="101" t="s">
        <v>413</v>
      </c>
      <c r="L38" s="40">
        <v>45694</v>
      </c>
      <c r="M38" s="45" t="s">
        <v>194</v>
      </c>
      <c r="N38" s="38" t="s">
        <v>61</v>
      </c>
      <c r="O38" s="37" t="s">
        <v>29</v>
      </c>
      <c r="P38" s="39" t="s">
        <v>10</v>
      </c>
      <c r="Q38" s="37" t="s">
        <v>31</v>
      </c>
      <c r="R38" s="43">
        <v>13.5</v>
      </c>
      <c r="S38" s="37" t="s">
        <v>29</v>
      </c>
      <c r="T38" s="51" t="s">
        <v>26</v>
      </c>
      <c r="U38" s="37" t="s">
        <v>31</v>
      </c>
      <c r="V38" s="43">
        <v>10.1</v>
      </c>
      <c r="W38" s="43">
        <v>90</v>
      </c>
      <c r="X38" s="37" t="s">
        <v>29</v>
      </c>
      <c r="Y38" s="39" t="s">
        <v>26</v>
      </c>
      <c r="Z38" s="44" t="s">
        <v>195</v>
      </c>
      <c r="AA38" s="39" t="s">
        <v>31</v>
      </c>
      <c r="AB38" s="118">
        <v>45658</v>
      </c>
    </row>
    <row r="39" spans="1:54" ht="30" hidden="1" x14ac:dyDescent="0.25">
      <c r="B39" s="82" t="s">
        <v>276</v>
      </c>
      <c r="C39" s="37" t="s">
        <v>74</v>
      </c>
      <c r="D39" s="103" t="s">
        <v>59</v>
      </c>
      <c r="E39" s="123" t="s">
        <v>269</v>
      </c>
      <c r="F39" s="44"/>
      <c r="G39" s="39" t="s">
        <v>29</v>
      </c>
      <c r="H39" s="39">
        <v>4600002727</v>
      </c>
      <c r="I39" s="64">
        <v>6056163000253</v>
      </c>
      <c r="J39" s="85" t="s">
        <v>512</v>
      </c>
      <c r="K39" s="115" t="s">
        <v>230</v>
      </c>
      <c r="L39" s="40" t="s">
        <v>235</v>
      </c>
      <c r="M39" s="56" t="s">
        <v>231</v>
      </c>
      <c r="N39" s="39" t="s">
        <v>76</v>
      </c>
      <c r="O39" s="37"/>
      <c r="P39" s="39" t="s">
        <v>294</v>
      </c>
      <c r="Q39" s="37"/>
      <c r="R39" s="43"/>
      <c r="S39" s="37"/>
      <c r="T39" s="40"/>
      <c r="U39" s="37"/>
      <c r="V39" s="43"/>
      <c r="W39" s="43"/>
      <c r="X39" s="37"/>
      <c r="Y39" s="39"/>
      <c r="Z39" s="44" t="s">
        <v>592</v>
      </c>
      <c r="AA39" s="39" t="s">
        <v>31</v>
      </c>
      <c r="AB39" s="118">
        <v>45717</v>
      </c>
    </row>
    <row r="40" spans="1:54" s="17" customFormat="1" ht="45" hidden="1" x14ac:dyDescent="0.25">
      <c r="A40" s="1"/>
      <c r="B40" s="82" t="s">
        <v>276</v>
      </c>
      <c r="C40" s="37" t="s">
        <v>39</v>
      </c>
      <c r="D40" s="103" t="s">
        <v>440</v>
      </c>
      <c r="E40" s="123" t="s">
        <v>269</v>
      </c>
      <c r="F40" s="44"/>
      <c r="G40" s="44" t="s">
        <v>614</v>
      </c>
      <c r="H40" s="39" t="s">
        <v>26</v>
      </c>
      <c r="I40" s="64">
        <v>14525684000150</v>
      </c>
      <c r="J40" s="85" t="s">
        <v>510</v>
      </c>
      <c r="K40" s="115" t="s">
        <v>545</v>
      </c>
      <c r="L40" s="46" t="s">
        <v>442</v>
      </c>
      <c r="M40" s="47" t="s">
        <v>444</v>
      </c>
      <c r="N40" s="37" t="s">
        <v>39</v>
      </c>
      <c r="O40" s="37"/>
      <c r="P40" s="39"/>
      <c r="Q40" s="37"/>
      <c r="R40" s="43"/>
      <c r="S40" s="37"/>
      <c r="T40" s="40"/>
      <c r="U40" s="37"/>
      <c r="V40" s="43"/>
      <c r="W40" s="43"/>
      <c r="X40" s="37"/>
      <c r="Y40" s="39"/>
      <c r="Z40" s="44" t="s">
        <v>536</v>
      </c>
      <c r="AA40" s="39" t="s">
        <v>31</v>
      </c>
      <c r="AB40" s="118">
        <v>45717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ht="30" hidden="1" x14ac:dyDescent="0.25">
      <c r="B41" s="82" t="s">
        <v>276</v>
      </c>
      <c r="C41" s="37" t="s">
        <v>39</v>
      </c>
      <c r="D41" s="103" t="s">
        <v>440</v>
      </c>
      <c r="E41" s="124" t="s">
        <v>269</v>
      </c>
      <c r="F41" s="44"/>
      <c r="G41" s="44" t="s">
        <v>614</v>
      </c>
      <c r="H41" s="39" t="s">
        <v>587</v>
      </c>
      <c r="I41" s="73">
        <v>2307766000149</v>
      </c>
      <c r="J41" s="85" t="s">
        <v>552</v>
      </c>
      <c r="K41" s="115" t="s">
        <v>53</v>
      </c>
      <c r="L41" s="46">
        <v>46011</v>
      </c>
      <c r="M41" s="47" t="s">
        <v>54</v>
      </c>
      <c r="N41" s="37" t="s">
        <v>39</v>
      </c>
      <c r="O41" s="37"/>
      <c r="P41" s="39" t="s">
        <v>294</v>
      </c>
      <c r="Q41" s="37"/>
      <c r="R41" s="43"/>
      <c r="S41" s="37"/>
      <c r="T41" s="40"/>
      <c r="U41" s="37"/>
      <c r="V41" s="43"/>
      <c r="W41" s="43"/>
      <c r="X41" s="37"/>
      <c r="Y41" s="39"/>
      <c r="Z41" s="44"/>
      <c r="AA41" s="39" t="s">
        <v>31</v>
      </c>
      <c r="AB41" s="118">
        <v>45717</v>
      </c>
    </row>
    <row r="42" spans="1:54" ht="30" hidden="1" x14ac:dyDescent="0.25">
      <c r="B42" s="82" t="s">
        <v>276</v>
      </c>
      <c r="C42" s="37" t="s">
        <v>25</v>
      </c>
      <c r="D42" s="103" t="s">
        <v>426</v>
      </c>
      <c r="E42" s="124" t="s">
        <v>269</v>
      </c>
      <c r="F42" s="44" t="s">
        <v>504</v>
      </c>
      <c r="G42" s="39" t="s">
        <v>29</v>
      </c>
      <c r="H42" s="39">
        <v>4600002917</v>
      </c>
      <c r="I42" s="72">
        <v>10472964704</v>
      </c>
      <c r="J42" s="85" t="s">
        <v>511</v>
      </c>
      <c r="K42" s="115" t="s">
        <v>241</v>
      </c>
      <c r="L42" s="40">
        <v>45808</v>
      </c>
      <c r="M42" s="56" t="s">
        <v>242</v>
      </c>
      <c r="N42" s="39" t="s">
        <v>61</v>
      </c>
      <c r="O42" s="37"/>
      <c r="P42" s="39" t="s">
        <v>294</v>
      </c>
      <c r="Q42" s="37"/>
      <c r="R42" s="43"/>
      <c r="S42" s="37"/>
      <c r="T42" s="40"/>
      <c r="U42" s="37"/>
      <c r="V42" s="43"/>
      <c r="W42" s="43"/>
      <c r="X42" s="37"/>
      <c r="Y42" s="39"/>
      <c r="Z42" s="44"/>
      <c r="AA42" s="39" t="s">
        <v>31</v>
      </c>
      <c r="AB42" s="118">
        <v>45717</v>
      </c>
    </row>
    <row r="43" spans="1:54" ht="30" hidden="1" x14ac:dyDescent="0.25">
      <c r="B43" s="82" t="s">
        <v>276</v>
      </c>
      <c r="C43" s="37" t="s">
        <v>39</v>
      </c>
      <c r="D43" s="103" t="s">
        <v>440</v>
      </c>
      <c r="E43" s="124" t="s">
        <v>269</v>
      </c>
      <c r="F43" s="44"/>
      <c r="G43" s="44" t="s">
        <v>614</v>
      </c>
      <c r="H43" s="39" t="s">
        <v>587</v>
      </c>
      <c r="I43" s="64">
        <v>1126163000188</v>
      </c>
      <c r="J43" s="85" t="s">
        <v>507</v>
      </c>
      <c r="K43" s="115" t="s">
        <v>544</v>
      </c>
      <c r="L43" s="46">
        <v>45838</v>
      </c>
      <c r="M43" s="47" t="s">
        <v>41</v>
      </c>
      <c r="N43" s="37" t="s">
        <v>39</v>
      </c>
      <c r="O43" s="37"/>
      <c r="P43" s="39"/>
      <c r="Q43" s="37"/>
      <c r="R43" s="43"/>
      <c r="S43" s="37"/>
      <c r="T43" s="40"/>
      <c r="U43" s="37"/>
      <c r="V43" s="43"/>
      <c r="W43" s="43"/>
      <c r="X43" s="37"/>
      <c r="Y43" s="39"/>
      <c r="Z43" s="44" t="s">
        <v>536</v>
      </c>
      <c r="AA43" s="39" t="s">
        <v>31</v>
      </c>
      <c r="AB43" s="118">
        <v>45717</v>
      </c>
    </row>
    <row r="44" spans="1:54" ht="30" hidden="1" x14ac:dyDescent="0.25">
      <c r="B44" s="82" t="s">
        <v>276</v>
      </c>
      <c r="C44" s="37" t="s">
        <v>159</v>
      </c>
      <c r="D44" s="103" t="s">
        <v>129</v>
      </c>
      <c r="E44" s="123" t="s">
        <v>521</v>
      </c>
      <c r="F44" s="44" t="s">
        <v>523</v>
      </c>
      <c r="G44" s="39" t="s">
        <v>29</v>
      </c>
      <c r="H44" s="39">
        <v>4600002869</v>
      </c>
      <c r="I44" s="64">
        <v>23569056000167</v>
      </c>
      <c r="J44" s="85" t="s">
        <v>553</v>
      </c>
      <c r="K44" s="115" t="s">
        <v>251</v>
      </c>
      <c r="L44" s="40" t="s">
        <v>235</v>
      </c>
      <c r="M44" s="56" t="s">
        <v>252</v>
      </c>
      <c r="N44" s="39" t="s">
        <v>66</v>
      </c>
      <c r="O44" s="37"/>
      <c r="P44" s="39" t="s">
        <v>294</v>
      </c>
      <c r="Q44" s="37"/>
      <c r="R44" s="43"/>
      <c r="S44" s="37"/>
      <c r="T44" s="40"/>
      <c r="U44" s="37"/>
      <c r="V44" s="43"/>
      <c r="W44" s="43"/>
      <c r="X44" s="37"/>
      <c r="Y44" s="39"/>
      <c r="Z44" s="44"/>
      <c r="AA44" s="39" t="s">
        <v>31</v>
      </c>
      <c r="AB44" s="118">
        <v>45717</v>
      </c>
    </row>
    <row r="45" spans="1:54" ht="45" hidden="1" x14ac:dyDescent="0.25">
      <c r="B45" s="82" t="s">
        <v>276</v>
      </c>
      <c r="C45" s="37" t="s">
        <v>25</v>
      </c>
      <c r="D45" s="103" t="s">
        <v>426</v>
      </c>
      <c r="E45" s="124" t="s">
        <v>269</v>
      </c>
      <c r="F45" s="44"/>
      <c r="G45" s="39" t="s">
        <v>29</v>
      </c>
      <c r="H45" s="78">
        <v>4600002884</v>
      </c>
      <c r="I45" s="73">
        <v>29314983000112</v>
      </c>
      <c r="J45" s="85" t="s">
        <v>552</v>
      </c>
      <c r="K45" s="115" t="s">
        <v>430</v>
      </c>
      <c r="L45" s="40" t="s">
        <v>247</v>
      </c>
      <c r="M45" s="49" t="s">
        <v>435</v>
      </c>
      <c r="N45" s="37" t="s">
        <v>25</v>
      </c>
      <c r="O45" s="37"/>
      <c r="P45" s="39"/>
      <c r="Q45" s="37"/>
      <c r="R45" s="43"/>
      <c r="S45" s="37"/>
      <c r="T45" s="40"/>
      <c r="U45" s="37"/>
      <c r="V45" s="43"/>
      <c r="W45" s="43"/>
      <c r="X45" s="37"/>
      <c r="Y45" s="39"/>
      <c r="Z45" s="44" t="s">
        <v>534</v>
      </c>
      <c r="AA45" s="39" t="s">
        <v>31</v>
      </c>
      <c r="AB45" s="118">
        <v>45717</v>
      </c>
    </row>
    <row r="46" spans="1:54" ht="45" hidden="1" x14ac:dyDescent="0.25">
      <c r="B46" s="82" t="s">
        <v>276</v>
      </c>
      <c r="C46" s="37" t="s">
        <v>39</v>
      </c>
      <c r="D46" s="103" t="s">
        <v>440</v>
      </c>
      <c r="E46" s="123" t="s">
        <v>269</v>
      </c>
      <c r="F46" s="44"/>
      <c r="G46" s="44" t="s">
        <v>614</v>
      </c>
      <c r="H46" s="39" t="s">
        <v>587</v>
      </c>
      <c r="I46" s="64">
        <v>2141980000178</v>
      </c>
      <c r="J46" s="85" t="s">
        <v>507</v>
      </c>
      <c r="K46" s="115" t="s">
        <v>543</v>
      </c>
      <c r="L46" s="46">
        <v>45777</v>
      </c>
      <c r="M46" s="47" t="s">
        <v>41</v>
      </c>
      <c r="N46" s="37" t="s">
        <v>39</v>
      </c>
      <c r="O46" s="37"/>
      <c r="P46" s="39"/>
      <c r="Q46" s="37"/>
      <c r="R46" s="43"/>
      <c r="S46" s="37"/>
      <c r="T46" s="40"/>
      <c r="U46" s="37"/>
      <c r="V46" s="43"/>
      <c r="W46" s="43"/>
      <c r="X46" s="37"/>
      <c r="Y46" s="39"/>
      <c r="Z46" s="44" t="s">
        <v>536</v>
      </c>
      <c r="AA46" s="39" t="s">
        <v>31</v>
      </c>
      <c r="AB46" s="118">
        <v>45717</v>
      </c>
    </row>
    <row r="47" spans="1:54" ht="30" hidden="1" x14ac:dyDescent="0.25">
      <c r="B47" s="82" t="s">
        <v>276</v>
      </c>
      <c r="C47" s="37" t="s">
        <v>39</v>
      </c>
      <c r="D47" s="103" t="s">
        <v>440</v>
      </c>
      <c r="E47" s="124" t="s">
        <v>269</v>
      </c>
      <c r="F47" s="44"/>
      <c r="G47" s="44" t="s">
        <v>614</v>
      </c>
      <c r="H47" s="39" t="s">
        <v>587</v>
      </c>
      <c r="I47" s="64" t="s">
        <v>542</v>
      </c>
      <c r="J47" s="85" t="s">
        <v>507</v>
      </c>
      <c r="K47" s="115" t="s">
        <v>541</v>
      </c>
      <c r="L47" s="46">
        <v>46267</v>
      </c>
      <c r="M47" s="47" t="s">
        <v>41</v>
      </c>
      <c r="N47" s="37" t="s">
        <v>39</v>
      </c>
      <c r="O47" s="37"/>
      <c r="P47" s="39"/>
      <c r="Q47" s="37"/>
      <c r="R47" s="43"/>
      <c r="S47" s="37"/>
      <c r="T47" s="40"/>
      <c r="U47" s="37"/>
      <c r="V47" s="43"/>
      <c r="W47" s="43"/>
      <c r="X47" s="37"/>
      <c r="Y47" s="39"/>
      <c r="Z47" s="44" t="s">
        <v>536</v>
      </c>
      <c r="AA47" s="39" t="s">
        <v>31</v>
      </c>
      <c r="AB47" s="118">
        <v>45717</v>
      </c>
    </row>
    <row r="48" spans="1:54" ht="30" hidden="1" x14ac:dyDescent="0.25">
      <c r="B48" s="82" t="s">
        <v>276</v>
      </c>
      <c r="C48" s="37" t="s">
        <v>39</v>
      </c>
      <c r="D48" s="103" t="s">
        <v>440</v>
      </c>
      <c r="E48" s="123" t="s">
        <v>269</v>
      </c>
      <c r="F48" s="44"/>
      <c r="G48" s="44" t="s">
        <v>614</v>
      </c>
      <c r="H48" s="39" t="s">
        <v>587</v>
      </c>
      <c r="I48" s="73">
        <v>1016570000132</v>
      </c>
      <c r="J48" s="85" t="s">
        <v>507</v>
      </c>
      <c r="K48" s="115" t="s">
        <v>52</v>
      </c>
      <c r="L48" s="46">
        <v>46311</v>
      </c>
      <c r="M48" s="47" t="s">
        <v>41</v>
      </c>
      <c r="N48" s="37" t="s">
        <v>39</v>
      </c>
      <c r="O48" s="37"/>
      <c r="P48" s="39" t="s">
        <v>294</v>
      </c>
      <c r="Q48" s="37"/>
      <c r="R48" s="43"/>
      <c r="S48" s="37"/>
      <c r="T48" s="40"/>
      <c r="U48" s="37"/>
      <c r="V48" s="43"/>
      <c r="W48" s="43"/>
      <c r="X48" s="37"/>
      <c r="Y48" s="39"/>
      <c r="Z48" s="44" t="s">
        <v>536</v>
      </c>
      <c r="AA48" s="39" t="s">
        <v>31</v>
      </c>
      <c r="AB48" s="118">
        <v>45717</v>
      </c>
    </row>
    <row r="49" spans="1:54" ht="30" hidden="1" x14ac:dyDescent="0.25">
      <c r="B49" s="82" t="s">
        <v>276</v>
      </c>
      <c r="C49" s="37" t="s">
        <v>39</v>
      </c>
      <c r="D49" s="103" t="s">
        <v>440</v>
      </c>
      <c r="E49" s="124" t="s">
        <v>269</v>
      </c>
      <c r="F49" s="44"/>
      <c r="G49" s="44" t="s">
        <v>614</v>
      </c>
      <c r="H49" s="39" t="s">
        <v>587</v>
      </c>
      <c r="I49" s="64" t="s">
        <v>539</v>
      </c>
      <c r="J49" s="85" t="s">
        <v>507</v>
      </c>
      <c r="K49" s="115" t="s">
        <v>538</v>
      </c>
      <c r="L49" s="46">
        <v>45777</v>
      </c>
      <c r="M49" s="47" t="s">
        <v>41</v>
      </c>
      <c r="N49" s="37" t="s">
        <v>39</v>
      </c>
      <c r="O49" s="37"/>
      <c r="P49" s="39"/>
      <c r="Q49" s="37"/>
      <c r="R49" s="43"/>
      <c r="S49" s="37"/>
      <c r="T49" s="40"/>
      <c r="U49" s="37"/>
      <c r="V49" s="43"/>
      <c r="W49" s="43"/>
      <c r="X49" s="37"/>
      <c r="Y49" s="39"/>
      <c r="Z49" s="44" t="s">
        <v>536</v>
      </c>
      <c r="AA49" s="39" t="s">
        <v>31</v>
      </c>
      <c r="AB49" s="118">
        <v>45717</v>
      </c>
    </row>
    <row r="50" spans="1:54" s="17" customFormat="1" ht="45" hidden="1" x14ac:dyDescent="0.25">
      <c r="A50" s="1"/>
      <c r="B50" s="82" t="s">
        <v>276</v>
      </c>
      <c r="C50" s="37" t="s">
        <v>39</v>
      </c>
      <c r="D50" s="103" t="s">
        <v>440</v>
      </c>
      <c r="E50" s="123" t="s">
        <v>269</v>
      </c>
      <c r="F50" s="44"/>
      <c r="G50" s="44" t="s">
        <v>614</v>
      </c>
      <c r="H50" s="39" t="s">
        <v>587</v>
      </c>
      <c r="I50" s="64" t="s">
        <v>537</v>
      </c>
      <c r="J50" s="85" t="s">
        <v>507</v>
      </c>
      <c r="K50" s="115" t="s">
        <v>540</v>
      </c>
      <c r="L50" s="46" t="s">
        <v>443</v>
      </c>
      <c r="M50" s="47" t="s">
        <v>445</v>
      </c>
      <c r="N50" s="37" t="s">
        <v>39</v>
      </c>
      <c r="O50" s="37"/>
      <c r="P50" s="39"/>
      <c r="Q50" s="37"/>
      <c r="R50" s="43"/>
      <c r="S50" s="37"/>
      <c r="T50" s="40"/>
      <c r="U50" s="37"/>
      <c r="V50" s="43"/>
      <c r="W50" s="43"/>
      <c r="X50" s="37"/>
      <c r="Y50" s="39"/>
      <c r="Z50" s="44" t="s">
        <v>536</v>
      </c>
      <c r="AA50" s="39" t="s">
        <v>31</v>
      </c>
      <c r="AB50" s="118">
        <v>45717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s="17" customFormat="1" ht="25.5" hidden="1" customHeight="1" x14ac:dyDescent="0.25">
      <c r="A51" s="1"/>
      <c r="B51" s="82" t="s">
        <v>276</v>
      </c>
      <c r="C51" s="37" t="s">
        <v>70</v>
      </c>
      <c r="D51" s="103" t="s">
        <v>71</v>
      </c>
      <c r="E51" s="123" t="s">
        <v>268</v>
      </c>
      <c r="F51" s="44" t="s">
        <v>425</v>
      </c>
      <c r="G51" s="44" t="s">
        <v>29</v>
      </c>
      <c r="H51" s="39" t="s">
        <v>26</v>
      </c>
      <c r="I51" s="73">
        <v>42411941000168</v>
      </c>
      <c r="J51" s="85" t="s">
        <v>516</v>
      </c>
      <c r="K51" s="115" t="s">
        <v>224</v>
      </c>
      <c r="L51" s="40">
        <v>45736</v>
      </c>
      <c r="M51" s="45" t="s">
        <v>225</v>
      </c>
      <c r="N51" s="38" t="s">
        <v>28</v>
      </c>
      <c r="O51" s="37" t="s">
        <v>31</v>
      </c>
      <c r="P51" s="39" t="s">
        <v>294</v>
      </c>
      <c r="Q51" s="37" t="s">
        <v>29</v>
      </c>
      <c r="R51" s="43" t="s">
        <v>26</v>
      </c>
      <c r="S51" s="37" t="s">
        <v>29</v>
      </c>
      <c r="T51" s="40" t="s">
        <v>26</v>
      </c>
      <c r="U51" s="37" t="s">
        <v>31</v>
      </c>
      <c r="V51" s="43" t="s">
        <v>221</v>
      </c>
      <c r="W51" s="43" t="s">
        <v>26</v>
      </c>
      <c r="X51" s="37" t="s">
        <v>29</v>
      </c>
      <c r="Y51" s="39" t="s">
        <v>26</v>
      </c>
      <c r="Z51" s="44"/>
      <c r="AA51" s="39" t="s">
        <v>31</v>
      </c>
      <c r="AB51" s="118">
        <v>45717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s="17" customFormat="1" ht="30" hidden="1" x14ac:dyDescent="0.25">
      <c r="A52" s="1"/>
      <c r="B52" s="82" t="s">
        <v>276</v>
      </c>
      <c r="C52" s="37" t="s">
        <v>70</v>
      </c>
      <c r="D52" s="103" t="s">
        <v>71</v>
      </c>
      <c r="E52" s="123" t="s">
        <v>268</v>
      </c>
      <c r="F52" s="44" t="s">
        <v>425</v>
      </c>
      <c r="G52" s="44" t="s">
        <v>29</v>
      </c>
      <c r="H52" s="39" t="s">
        <v>26</v>
      </c>
      <c r="I52" s="73">
        <v>5915385000130</v>
      </c>
      <c r="J52" s="85" t="s">
        <v>516</v>
      </c>
      <c r="K52" s="115" t="s">
        <v>219</v>
      </c>
      <c r="L52" s="40">
        <v>45730</v>
      </c>
      <c r="M52" s="45" t="s">
        <v>220</v>
      </c>
      <c r="N52" s="38" t="s">
        <v>28</v>
      </c>
      <c r="O52" s="37" t="s">
        <v>31</v>
      </c>
      <c r="P52" s="39" t="s">
        <v>294</v>
      </c>
      <c r="Q52" s="37" t="s">
        <v>29</v>
      </c>
      <c r="R52" s="43" t="s">
        <v>26</v>
      </c>
      <c r="S52" s="37" t="s">
        <v>29</v>
      </c>
      <c r="T52" s="40" t="s">
        <v>26</v>
      </c>
      <c r="U52" s="37" t="s">
        <v>31</v>
      </c>
      <c r="V52" s="43" t="s">
        <v>221</v>
      </c>
      <c r="W52" s="43" t="s">
        <v>26</v>
      </c>
      <c r="X52" s="37" t="s">
        <v>29</v>
      </c>
      <c r="Y52" s="39" t="s">
        <v>26</v>
      </c>
      <c r="Z52" s="44"/>
      <c r="AA52" s="39" t="s">
        <v>31</v>
      </c>
      <c r="AB52" s="118">
        <v>45717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ht="30" hidden="1" x14ac:dyDescent="0.25">
      <c r="B53" s="82" t="s">
        <v>276</v>
      </c>
      <c r="C53" s="37" t="s">
        <v>34</v>
      </c>
      <c r="D53" s="103" t="s">
        <v>35</v>
      </c>
      <c r="E53" s="123" t="s">
        <v>521</v>
      </c>
      <c r="F53" s="44" t="s">
        <v>555</v>
      </c>
      <c r="G53" s="39" t="s">
        <v>29</v>
      </c>
      <c r="H53" s="39" t="s">
        <v>26</v>
      </c>
      <c r="I53" s="64">
        <v>10467944000127</v>
      </c>
      <c r="J53" s="85" t="s">
        <v>552</v>
      </c>
      <c r="K53" s="115" t="s">
        <v>466</v>
      </c>
      <c r="L53" s="40" t="s">
        <v>47</v>
      </c>
      <c r="M53" s="41" t="s">
        <v>473</v>
      </c>
      <c r="N53" s="38" t="s">
        <v>34</v>
      </c>
      <c r="O53" s="37"/>
      <c r="P53" s="39"/>
      <c r="Q53" s="37"/>
      <c r="R53" s="43"/>
      <c r="S53" s="37"/>
      <c r="T53" s="40"/>
      <c r="U53" s="37"/>
      <c r="V53" s="43"/>
      <c r="W53" s="43"/>
      <c r="X53" s="37"/>
      <c r="Y53" s="39"/>
      <c r="Z53" s="44" t="s">
        <v>534</v>
      </c>
      <c r="AA53" s="39" t="s">
        <v>29</v>
      </c>
      <c r="AB53" s="118"/>
    </row>
    <row r="54" spans="1:54" s="17" customFormat="1" ht="30" hidden="1" x14ac:dyDescent="0.25">
      <c r="A54" s="1"/>
      <c r="B54" s="82" t="s">
        <v>276</v>
      </c>
      <c r="C54" s="37" t="s">
        <v>34</v>
      </c>
      <c r="D54" s="103" t="s">
        <v>568</v>
      </c>
      <c r="E54" s="123" t="s">
        <v>521</v>
      </c>
      <c r="F54" s="44"/>
      <c r="G54" s="39" t="s">
        <v>29</v>
      </c>
      <c r="H54" s="39">
        <v>4600002708</v>
      </c>
      <c r="I54" s="64">
        <v>9156285000129</v>
      </c>
      <c r="J54" s="85" t="s">
        <v>552</v>
      </c>
      <c r="K54" s="115" t="s">
        <v>234</v>
      </c>
      <c r="L54" s="40" t="s">
        <v>235</v>
      </c>
      <c r="M54" s="56" t="s">
        <v>236</v>
      </c>
      <c r="N54" s="39" t="s">
        <v>66</v>
      </c>
      <c r="O54" s="37"/>
      <c r="P54" s="39" t="s">
        <v>294</v>
      </c>
      <c r="Q54" s="37"/>
      <c r="R54" s="43"/>
      <c r="S54" s="37"/>
      <c r="T54" s="40"/>
      <c r="U54" s="37"/>
      <c r="V54" s="43"/>
      <c r="W54" s="43"/>
      <c r="X54" s="37"/>
      <c r="Y54" s="39"/>
      <c r="Z54" s="44"/>
      <c r="AA54" s="39" t="s">
        <v>31</v>
      </c>
      <c r="AB54" s="118">
        <v>45717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ht="26.25" customHeight="1" x14ac:dyDescent="0.25">
      <c r="B55" s="82" t="s">
        <v>276</v>
      </c>
      <c r="C55" s="37" t="s">
        <v>34</v>
      </c>
      <c r="D55" s="103" t="s">
        <v>35</v>
      </c>
      <c r="E55" s="123" t="s">
        <v>521</v>
      </c>
      <c r="F55" s="44" t="s">
        <v>555</v>
      </c>
      <c r="G55" s="39" t="s">
        <v>31</v>
      </c>
      <c r="H55" s="39" t="s">
        <v>587</v>
      </c>
      <c r="I55" s="73">
        <v>2421421000111</v>
      </c>
      <c r="J55" s="85" t="s">
        <v>561</v>
      </c>
      <c r="K55" s="115" t="s">
        <v>278</v>
      </c>
      <c r="L55" s="40">
        <v>46331</v>
      </c>
      <c r="M55" s="56" t="s">
        <v>279</v>
      </c>
      <c r="N55" s="39" t="s">
        <v>95</v>
      </c>
      <c r="O55" s="37"/>
      <c r="P55" s="39" t="s">
        <v>294</v>
      </c>
      <c r="Q55" s="37"/>
      <c r="R55" s="43"/>
      <c r="S55" s="37"/>
      <c r="T55" s="40"/>
      <c r="U55" s="37"/>
      <c r="V55" s="43"/>
      <c r="W55" s="43"/>
      <c r="X55" s="37"/>
      <c r="Y55" s="39"/>
      <c r="Z55" s="44"/>
      <c r="AA55" s="39" t="s">
        <v>31</v>
      </c>
      <c r="AB55" s="118">
        <v>45717</v>
      </c>
    </row>
    <row r="56" spans="1:54" s="17" customFormat="1" ht="21" hidden="1" customHeight="1" x14ac:dyDescent="0.25">
      <c r="A56" s="1"/>
      <c r="B56" s="82" t="s">
        <v>276</v>
      </c>
      <c r="C56" s="37" t="s">
        <v>100</v>
      </c>
      <c r="D56" s="103" t="s">
        <v>101</v>
      </c>
      <c r="E56" s="123" t="s">
        <v>269</v>
      </c>
      <c r="F56" s="44"/>
      <c r="G56" s="44" t="s">
        <v>29</v>
      </c>
      <c r="H56" s="39">
        <v>4600002931</v>
      </c>
      <c r="I56" s="64">
        <v>4605970000171</v>
      </c>
      <c r="J56" s="85" t="s">
        <v>508</v>
      </c>
      <c r="K56" s="101" t="s">
        <v>324</v>
      </c>
      <c r="L56" s="40">
        <v>45900</v>
      </c>
      <c r="M56" s="49" t="s">
        <v>177</v>
      </c>
      <c r="N56" s="38" t="s">
        <v>61</v>
      </c>
      <c r="O56" s="37" t="s">
        <v>31</v>
      </c>
      <c r="P56" s="39" t="s">
        <v>294</v>
      </c>
      <c r="Q56" s="37" t="s">
        <v>29</v>
      </c>
      <c r="R56" s="43" t="s">
        <v>26</v>
      </c>
      <c r="S56" s="37" t="s">
        <v>29</v>
      </c>
      <c r="T56" s="40" t="s">
        <v>26</v>
      </c>
      <c r="U56" s="37" t="s">
        <v>31</v>
      </c>
      <c r="V56" s="43">
        <v>10.199999999999999</v>
      </c>
      <c r="W56" s="43">
        <v>30</v>
      </c>
      <c r="X56" s="37" t="s">
        <v>29</v>
      </c>
      <c r="Y56" s="39"/>
      <c r="Z56" s="44"/>
      <c r="AA56" s="39" t="s">
        <v>31</v>
      </c>
      <c r="AB56" s="118">
        <v>45658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22.5" hidden="1" customHeight="1" x14ac:dyDescent="0.25">
      <c r="B57" s="82" t="s">
        <v>276</v>
      </c>
      <c r="C57" s="37" t="s">
        <v>34</v>
      </c>
      <c r="D57" s="103" t="s">
        <v>35</v>
      </c>
      <c r="E57" s="123" t="s">
        <v>521</v>
      </c>
      <c r="F57" s="44" t="s">
        <v>555</v>
      </c>
      <c r="G57" s="39" t="s">
        <v>29</v>
      </c>
      <c r="H57" s="39">
        <v>4600003029</v>
      </c>
      <c r="I57" s="64">
        <v>9719875000112</v>
      </c>
      <c r="J57" s="85" t="s">
        <v>561</v>
      </c>
      <c r="K57" s="115" t="s">
        <v>594</v>
      </c>
      <c r="L57" s="40">
        <v>46732</v>
      </c>
      <c r="M57" s="56" t="s">
        <v>238</v>
      </c>
      <c r="N57" s="39" t="s">
        <v>95</v>
      </c>
      <c r="O57" s="37"/>
      <c r="P57" s="39" t="s">
        <v>294</v>
      </c>
      <c r="Q57" s="37"/>
      <c r="R57" s="43"/>
      <c r="S57" s="37"/>
      <c r="T57" s="40"/>
      <c r="U57" s="37"/>
      <c r="V57" s="43"/>
      <c r="W57" s="43"/>
      <c r="X57" s="37"/>
      <c r="Y57" s="39"/>
      <c r="Z57" s="44"/>
      <c r="AA57" s="39" t="s">
        <v>31</v>
      </c>
      <c r="AB57" s="118">
        <v>45717</v>
      </c>
      <c r="AE57" s="69"/>
      <c r="AF57" s="69"/>
      <c r="AI57" s="69"/>
      <c r="AJ57" s="69"/>
      <c r="AN57" s="69"/>
      <c r="AO57" s="69"/>
      <c r="AP57" s="69"/>
    </row>
    <row r="58" spans="1:54" ht="30" hidden="1" x14ac:dyDescent="0.25">
      <c r="B58" s="82" t="s">
        <v>276</v>
      </c>
      <c r="C58" s="37" t="s">
        <v>34</v>
      </c>
      <c r="D58" s="103" t="s">
        <v>35</v>
      </c>
      <c r="E58" s="123" t="s">
        <v>521</v>
      </c>
      <c r="F58" s="44" t="s">
        <v>555</v>
      </c>
      <c r="G58" s="39" t="s">
        <v>29</v>
      </c>
      <c r="H58" s="39" t="s">
        <v>239</v>
      </c>
      <c r="I58" s="64">
        <v>5250796000154</v>
      </c>
      <c r="J58" s="85" t="s">
        <v>552</v>
      </c>
      <c r="K58" s="115" t="s">
        <v>463</v>
      </c>
      <c r="L58" s="40">
        <v>46234</v>
      </c>
      <c r="M58" s="41" t="s">
        <v>469</v>
      </c>
      <c r="N58" s="38" t="s">
        <v>34</v>
      </c>
      <c r="O58" s="37"/>
      <c r="P58" s="39"/>
      <c r="Q58" s="37"/>
      <c r="R58" s="43"/>
      <c r="S58" s="37"/>
      <c r="T58" s="40"/>
      <c r="U58" s="37"/>
      <c r="V58" s="43"/>
      <c r="W58" s="43"/>
      <c r="X58" s="37"/>
      <c r="Y58" s="39"/>
      <c r="Z58" s="44" t="s">
        <v>591</v>
      </c>
      <c r="AA58" s="39" t="s">
        <v>31</v>
      </c>
      <c r="AB58" s="118">
        <v>45717</v>
      </c>
    </row>
    <row r="59" spans="1:54" ht="30" x14ac:dyDescent="0.25">
      <c r="B59" s="82" t="s">
        <v>276</v>
      </c>
      <c r="C59" s="37" t="s">
        <v>34</v>
      </c>
      <c r="D59" s="103" t="s">
        <v>35</v>
      </c>
      <c r="E59" s="123" t="s">
        <v>521</v>
      </c>
      <c r="F59" s="44" t="s">
        <v>462</v>
      </c>
      <c r="G59" s="39" t="s">
        <v>31</v>
      </c>
      <c r="H59" s="39" t="s">
        <v>239</v>
      </c>
      <c r="I59" s="64">
        <v>1468594000122</v>
      </c>
      <c r="J59" s="85" t="s">
        <v>552</v>
      </c>
      <c r="K59" s="115" t="s">
        <v>589</v>
      </c>
      <c r="L59" s="40" t="s">
        <v>237</v>
      </c>
      <c r="M59" s="56" t="s">
        <v>240</v>
      </c>
      <c r="N59" s="39" t="s">
        <v>61</v>
      </c>
      <c r="O59" s="37"/>
      <c r="P59" s="39" t="s">
        <v>294</v>
      </c>
      <c r="Q59" s="37"/>
      <c r="R59" s="43"/>
      <c r="S59" s="37"/>
      <c r="T59" s="40"/>
      <c r="U59" s="37"/>
      <c r="V59" s="43"/>
      <c r="W59" s="43"/>
      <c r="X59" s="37"/>
      <c r="Y59" s="39"/>
      <c r="Z59" s="44" t="s">
        <v>590</v>
      </c>
      <c r="AA59" s="39" t="s">
        <v>31</v>
      </c>
      <c r="AB59" s="118">
        <v>45717</v>
      </c>
    </row>
    <row r="60" spans="1:54" ht="35.25" hidden="1" customHeight="1" x14ac:dyDescent="0.25">
      <c r="B60" s="82" t="s">
        <v>276</v>
      </c>
      <c r="C60" s="37" t="s">
        <v>70</v>
      </c>
      <c r="D60" s="103" t="s">
        <v>71</v>
      </c>
      <c r="E60" s="124" t="s">
        <v>269</v>
      </c>
      <c r="F60" s="44" t="s">
        <v>424</v>
      </c>
      <c r="G60" s="44" t="s">
        <v>29</v>
      </c>
      <c r="H60" s="39">
        <v>4600002940</v>
      </c>
      <c r="I60" s="64">
        <v>15722160000111</v>
      </c>
      <c r="J60" s="85" t="s">
        <v>475</v>
      </c>
      <c r="K60" s="101" t="s">
        <v>355</v>
      </c>
      <c r="L60" s="40">
        <v>45961</v>
      </c>
      <c r="M60" s="49" t="s">
        <v>92</v>
      </c>
      <c r="N60" s="38" t="s">
        <v>73</v>
      </c>
      <c r="O60" s="37" t="s">
        <v>29</v>
      </c>
      <c r="P60" s="39" t="s">
        <v>10</v>
      </c>
      <c r="Q60" s="37" t="s">
        <v>29</v>
      </c>
      <c r="R60" s="43" t="s">
        <v>26</v>
      </c>
      <c r="S60" s="37" t="s">
        <v>29</v>
      </c>
      <c r="T60" s="40" t="s">
        <v>26</v>
      </c>
      <c r="U60" s="37" t="s">
        <v>31</v>
      </c>
      <c r="V60" s="43">
        <v>3</v>
      </c>
      <c r="W60" s="43">
        <v>30</v>
      </c>
      <c r="X60" s="37" t="s">
        <v>29</v>
      </c>
      <c r="Y60" s="39" t="s">
        <v>26</v>
      </c>
      <c r="Z60" s="44"/>
      <c r="AA60" s="39" t="s">
        <v>31</v>
      </c>
      <c r="AB60" s="118">
        <v>45658</v>
      </c>
      <c r="AE60" s="69"/>
      <c r="AF60" s="69"/>
      <c r="AI60" s="69"/>
      <c r="AJ60" s="69"/>
      <c r="AN60" s="69"/>
      <c r="AO60" s="69"/>
      <c r="AP60" s="69"/>
    </row>
    <row r="61" spans="1:54" s="17" customFormat="1" ht="30" x14ac:dyDescent="0.25">
      <c r="A61" s="1"/>
      <c r="B61" s="82" t="s">
        <v>276</v>
      </c>
      <c r="C61" s="37" t="s">
        <v>25</v>
      </c>
      <c r="D61" s="103" t="s">
        <v>439</v>
      </c>
      <c r="E61" s="124" t="s">
        <v>269</v>
      </c>
      <c r="F61" s="44"/>
      <c r="G61" s="39" t="s">
        <v>31</v>
      </c>
      <c r="H61" s="39" t="s">
        <v>587</v>
      </c>
      <c r="I61" s="64">
        <v>76590884000143</v>
      </c>
      <c r="J61" s="85" t="s">
        <v>508</v>
      </c>
      <c r="K61" s="115" t="s">
        <v>549</v>
      </c>
      <c r="L61" s="46">
        <v>45839</v>
      </c>
      <c r="M61" s="47" t="s">
        <v>460</v>
      </c>
      <c r="N61" s="37" t="s">
        <v>25</v>
      </c>
      <c r="O61" s="37"/>
      <c r="P61" s="39"/>
      <c r="Q61" s="37"/>
      <c r="R61" s="43"/>
      <c r="S61" s="37"/>
      <c r="T61" s="40"/>
      <c r="U61" s="37"/>
      <c r="V61" s="43"/>
      <c r="W61" s="43"/>
      <c r="X61" s="37"/>
      <c r="Y61" s="39"/>
      <c r="Z61" s="44" t="s">
        <v>536</v>
      </c>
      <c r="AA61" s="39" t="s">
        <v>31</v>
      </c>
      <c r="AB61" s="118">
        <v>45717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33.75" hidden="1" customHeight="1" x14ac:dyDescent="0.25">
      <c r="B62" s="82" t="s">
        <v>276</v>
      </c>
      <c r="C62" s="37" t="s">
        <v>70</v>
      </c>
      <c r="D62" s="103" t="s">
        <v>71</v>
      </c>
      <c r="E62" s="124" t="s">
        <v>269</v>
      </c>
      <c r="F62" s="44" t="s">
        <v>420</v>
      </c>
      <c r="G62" s="44" t="s">
        <v>29</v>
      </c>
      <c r="H62" s="39">
        <v>4600003017</v>
      </c>
      <c r="I62" s="70">
        <v>27229906000139</v>
      </c>
      <c r="J62" s="85" t="s">
        <v>531</v>
      </c>
      <c r="K62" s="101" t="s">
        <v>378</v>
      </c>
      <c r="L62" s="40">
        <v>45972</v>
      </c>
      <c r="M62" s="45" t="s">
        <v>145</v>
      </c>
      <c r="N62" s="38" t="s">
        <v>66</v>
      </c>
      <c r="O62" s="37" t="s">
        <v>31</v>
      </c>
      <c r="P62" s="39" t="s">
        <v>294</v>
      </c>
      <c r="Q62" s="37" t="s">
        <v>29</v>
      </c>
      <c r="R62" s="43" t="s">
        <v>26</v>
      </c>
      <c r="S62" s="37" t="s">
        <v>29</v>
      </c>
      <c r="T62" s="40" t="s">
        <v>26</v>
      </c>
      <c r="U62" s="37" t="s">
        <v>31</v>
      </c>
      <c r="V62" s="43">
        <v>10.199999999999999</v>
      </c>
      <c r="W62" s="43">
        <v>30</v>
      </c>
      <c r="X62" s="37" t="s">
        <v>29</v>
      </c>
      <c r="Y62" s="39" t="s">
        <v>26</v>
      </c>
      <c r="Z62" s="44"/>
      <c r="AA62" s="39" t="s">
        <v>31</v>
      </c>
      <c r="AB62" s="118">
        <v>45658</v>
      </c>
    </row>
    <row r="63" spans="1:54" ht="30" hidden="1" x14ac:dyDescent="0.25">
      <c r="B63" s="82" t="s">
        <v>276</v>
      </c>
      <c r="C63" s="37" t="s">
        <v>70</v>
      </c>
      <c r="D63" s="103" t="s">
        <v>71</v>
      </c>
      <c r="E63" s="124" t="s">
        <v>269</v>
      </c>
      <c r="F63" s="44" t="s">
        <v>420</v>
      </c>
      <c r="G63" s="44" t="s">
        <v>29</v>
      </c>
      <c r="H63" s="39">
        <v>4600002992</v>
      </c>
      <c r="I63" s="64">
        <v>27229906000139</v>
      </c>
      <c r="J63" s="85" t="s">
        <v>527</v>
      </c>
      <c r="K63" s="101" t="s">
        <v>378</v>
      </c>
      <c r="L63" s="40">
        <v>45894</v>
      </c>
      <c r="M63" s="45" t="s">
        <v>112</v>
      </c>
      <c r="N63" s="38" t="s">
        <v>28</v>
      </c>
      <c r="O63" s="37" t="s">
        <v>31</v>
      </c>
      <c r="P63" s="39" t="s">
        <v>294</v>
      </c>
      <c r="Q63" s="37" t="s">
        <v>29</v>
      </c>
      <c r="R63" s="43" t="s">
        <v>26</v>
      </c>
      <c r="S63" s="37" t="s">
        <v>29</v>
      </c>
      <c r="T63" s="40" t="s">
        <v>26</v>
      </c>
      <c r="U63" s="37" t="s">
        <v>31</v>
      </c>
      <c r="V63" s="43">
        <v>10.199999999999999</v>
      </c>
      <c r="W63" s="43">
        <v>30</v>
      </c>
      <c r="X63" s="37" t="s">
        <v>29</v>
      </c>
      <c r="Y63" s="39" t="s">
        <v>26</v>
      </c>
      <c r="Z63" s="44"/>
      <c r="AA63" s="39" t="s">
        <v>31</v>
      </c>
      <c r="AB63" s="118">
        <v>45658</v>
      </c>
    </row>
    <row r="64" spans="1:54" s="17" customFormat="1" ht="30" hidden="1" x14ac:dyDescent="0.25">
      <c r="A64" s="1"/>
      <c r="B64" s="82" t="s">
        <v>276</v>
      </c>
      <c r="C64" s="37" t="s">
        <v>70</v>
      </c>
      <c r="D64" s="103" t="s">
        <v>71</v>
      </c>
      <c r="E64" s="124" t="s">
        <v>269</v>
      </c>
      <c r="F64" s="44" t="s">
        <v>420</v>
      </c>
      <c r="G64" s="44" t="s">
        <v>29</v>
      </c>
      <c r="H64" s="39">
        <v>4600002995</v>
      </c>
      <c r="I64" s="64">
        <v>21984786000107</v>
      </c>
      <c r="J64" s="85" t="s">
        <v>528</v>
      </c>
      <c r="K64" s="101" t="s">
        <v>364</v>
      </c>
      <c r="L64" s="40">
        <v>45929</v>
      </c>
      <c r="M64" s="45" t="s">
        <v>120</v>
      </c>
      <c r="N64" s="38" t="s">
        <v>28</v>
      </c>
      <c r="O64" s="37" t="s">
        <v>31</v>
      </c>
      <c r="P64" s="39" t="s">
        <v>294</v>
      </c>
      <c r="Q64" s="37" t="s">
        <v>29</v>
      </c>
      <c r="R64" s="43" t="s">
        <v>26</v>
      </c>
      <c r="S64" s="37" t="s">
        <v>29</v>
      </c>
      <c r="T64" s="40" t="s">
        <v>26</v>
      </c>
      <c r="U64" s="37" t="s">
        <v>31</v>
      </c>
      <c r="V64" s="43">
        <v>10.199999999999999</v>
      </c>
      <c r="W64" s="43">
        <v>30</v>
      </c>
      <c r="X64" s="37" t="s">
        <v>29</v>
      </c>
      <c r="Y64" s="39" t="s">
        <v>26</v>
      </c>
      <c r="Z64" s="44"/>
      <c r="AA64" s="39" t="s">
        <v>31</v>
      </c>
      <c r="AB64" s="118">
        <v>45658</v>
      </c>
      <c r="AC64" s="1"/>
      <c r="AD64" s="1"/>
      <c r="AE64" s="69"/>
      <c r="AF64" s="69"/>
      <c r="AG64" s="1"/>
      <c r="AH64" s="1"/>
      <c r="AI64" s="69"/>
      <c r="AJ64" s="69"/>
      <c r="AK64" s="1"/>
      <c r="AL64" s="1"/>
      <c r="AM64" s="1"/>
      <c r="AN64" s="69"/>
      <c r="AO64" s="69"/>
      <c r="AP64" s="69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:42" ht="30" hidden="1" x14ac:dyDescent="0.25">
      <c r="B65" s="82" t="s">
        <v>276</v>
      </c>
      <c r="C65" s="37" t="s">
        <v>70</v>
      </c>
      <c r="D65" s="103" t="s">
        <v>71</v>
      </c>
      <c r="E65" s="124" t="s">
        <v>269</v>
      </c>
      <c r="F65" s="44" t="s">
        <v>421</v>
      </c>
      <c r="G65" s="44" t="s">
        <v>29</v>
      </c>
      <c r="H65" s="39">
        <v>4600002973</v>
      </c>
      <c r="I65" s="64">
        <v>4708890000141</v>
      </c>
      <c r="J65" s="85" t="s">
        <v>475</v>
      </c>
      <c r="K65" s="101" t="s">
        <v>325</v>
      </c>
      <c r="L65" s="40">
        <v>46204</v>
      </c>
      <c r="M65" s="49" t="s">
        <v>72</v>
      </c>
      <c r="N65" s="38" t="s">
        <v>73</v>
      </c>
      <c r="O65" s="37" t="s">
        <v>31</v>
      </c>
      <c r="P65" s="39" t="s">
        <v>294</v>
      </c>
      <c r="Q65" s="37" t="s">
        <v>29</v>
      </c>
      <c r="R65" s="43" t="s">
        <v>26</v>
      </c>
      <c r="S65" s="37" t="s">
        <v>29</v>
      </c>
      <c r="T65" s="40" t="s">
        <v>26</v>
      </c>
      <c r="U65" s="37" t="s">
        <v>31</v>
      </c>
      <c r="V65" s="43">
        <v>10</v>
      </c>
      <c r="W65" s="43">
        <v>30</v>
      </c>
      <c r="X65" s="37" t="s">
        <v>29</v>
      </c>
      <c r="Y65" s="39" t="s">
        <v>26</v>
      </c>
      <c r="Z65" s="44"/>
      <c r="AA65" s="39" t="s">
        <v>31</v>
      </c>
      <c r="AB65" s="118">
        <v>45658</v>
      </c>
    </row>
    <row r="66" spans="2:42" ht="30" hidden="1" x14ac:dyDescent="0.25">
      <c r="B66" s="82" t="s">
        <v>276</v>
      </c>
      <c r="C66" s="37" t="s">
        <v>70</v>
      </c>
      <c r="D66" s="103" t="s">
        <v>71</v>
      </c>
      <c r="E66" s="124" t="s">
        <v>269</v>
      </c>
      <c r="F66" s="44" t="s">
        <v>424</v>
      </c>
      <c r="G66" s="44" t="s">
        <v>29</v>
      </c>
      <c r="H66" s="39">
        <v>4600002941</v>
      </c>
      <c r="I66" s="64">
        <v>25449119000177</v>
      </c>
      <c r="J66" s="85" t="s">
        <v>475</v>
      </c>
      <c r="K66" s="101" t="s">
        <v>374</v>
      </c>
      <c r="L66" s="40">
        <v>45823</v>
      </c>
      <c r="M66" s="49" t="s">
        <v>92</v>
      </c>
      <c r="N66" s="38" t="s">
        <v>73</v>
      </c>
      <c r="O66" s="37" t="s">
        <v>29</v>
      </c>
      <c r="P66" s="39" t="s">
        <v>10</v>
      </c>
      <c r="Q66" s="37" t="s">
        <v>29</v>
      </c>
      <c r="R66" s="43" t="s">
        <v>26</v>
      </c>
      <c r="S66" s="37" t="s">
        <v>29</v>
      </c>
      <c r="T66" s="40" t="s">
        <v>26</v>
      </c>
      <c r="U66" s="37" t="s">
        <v>31</v>
      </c>
      <c r="V66" s="43">
        <v>3</v>
      </c>
      <c r="W66" s="43">
        <v>30</v>
      </c>
      <c r="X66" s="37" t="s">
        <v>29</v>
      </c>
      <c r="Y66" s="39" t="s">
        <v>26</v>
      </c>
      <c r="Z66" s="44"/>
      <c r="AA66" s="39" t="s">
        <v>31</v>
      </c>
      <c r="AB66" s="118">
        <v>45658</v>
      </c>
    </row>
    <row r="67" spans="2:42" ht="30" hidden="1" x14ac:dyDescent="0.25">
      <c r="B67" s="82" t="s">
        <v>276</v>
      </c>
      <c r="C67" s="37" t="s">
        <v>70</v>
      </c>
      <c r="D67" s="103" t="s">
        <v>71</v>
      </c>
      <c r="E67" s="124" t="s">
        <v>269</v>
      </c>
      <c r="F67" s="44" t="s">
        <v>420</v>
      </c>
      <c r="G67" s="44" t="s">
        <v>29</v>
      </c>
      <c r="H67" s="39">
        <v>4600002960</v>
      </c>
      <c r="I67" s="64">
        <v>89171201000165</v>
      </c>
      <c r="J67" s="85" t="s">
        <v>478</v>
      </c>
      <c r="K67" s="101" t="s">
        <v>298</v>
      </c>
      <c r="L67" s="40">
        <v>46812</v>
      </c>
      <c r="M67" s="49" t="s">
        <v>93</v>
      </c>
      <c r="N67" s="38" t="s">
        <v>73</v>
      </c>
      <c r="O67" s="37" t="s">
        <v>29</v>
      </c>
      <c r="P67" s="39" t="s">
        <v>10</v>
      </c>
      <c r="Q67" s="37" t="s">
        <v>31</v>
      </c>
      <c r="R67" s="43">
        <v>5</v>
      </c>
      <c r="S67" s="37" t="s">
        <v>31</v>
      </c>
      <c r="T67" s="40" t="s">
        <v>26</v>
      </c>
      <c r="U67" s="37" t="s">
        <v>31</v>
      </c>
      <c r="V67" s="43">
        <v>2</v>
      </c>
      <c r="W67" s="43">
        <v>30</v>
      </c>
      <c r="X67" s="37" t="s">
        <v>31</v>
      </c>
      <c r="Y67" s="48">
        <v>0.4</v>
      </c>
      <c r="Z67" s="44"/>
      <c r="AA67" s="39" t="s">
        <v>31</v>
      </c>
      <c r="AB67" s="118">
        <v>45658</v>
      </c>
    </row>
    <row r="68" spans="2:42" ht="30" hidden="1" x14ac:dyDescent="0.25">
      <c r="B68" s="82" t="s">
        <v>276</v>
      </c>
      <c r="C68" s="37" t="s">
        <v>70</v>
      </c>
      <c r="D68" s="103" t="s">
        <v>71</v>
      </c>
      <c r="E68" s="124" t="s">
        <v>269</v>
      </c>
      <c r="F68" s="44" t="s">
        <v>420</v>
      </c>
      <c r="G68" s="44" t="s">
        <v>29</v>
      </c>
      <c r="H68" s="39">
        <v>4600002987</v>
      </c>
      <c r="I68" s="64">
        <v>33660736000145</v>
      </c>
      <c r="J68" s="85" t="s">
        <v>518</v>
      </c>
      <c r="K68" s="101" t="s">
        <v>389</v>
      </c>
      <c r="L68" s="40">
        <v>45869</v>
      </c>
      <c r="M68" s="45" t="s">
        <v>214</v>
      </c>
      <c r="N68" s="38" t="s">
        <v>73</v>
      </c>
      <c r="O68" s="37" t="s">
        <v>31</v>
      </c>
      <c r="P68" s="39" t="s">
        <v>294</v>
      </c>
      <c r="Q68" s="37" t="s">
        <v>29</v>
      </c>
      <c r="R68" s="43" t="s">
        <v>26</v>
      </c>
      <c r="S68" s="37" t="s">
        <v>29</v>
      </c>
      <c r="T68" s="40" t="s">
        <v>26</v>
      </c>
      <c r="U68" s="37" t="s">
        <v>31</v>
      </c>
      <c r="V68" s="43">
        <v>12.2</v>
      </c>
      <c r="W68" s="43">
        <v>30</v>
      </c>
      <c r="X68" s="37" t="s">
        <v>29</v>
      </c>
      <c r="Y68" s="39" t="s">
        <v>26</v>
      </c>
      <c r="Z68" s="44"/>
      <c r="AA68" s="39" t="s">
        <v>31</v>
      </c>
      <c r="AB68" s="118">
        <v>45658</v>
      </c>
    </row>
    <row r="69" spans="2:42" ht="30" hidden="1" x14ac:dyDescent="0.25">
      <c r="B69" s="82" t="s">
        <v>276</v>
      </c>
      <c r="C69" s="37" t="s">
        <v>70</v>
      </c>
      <c r="D69" s="103" t="s">
        <v>71</v>
      </c>
      <c r="E69" s="124" t="s">
        <v>269</v>
      </c>
      <c r="F69" s="44" t="s">
        <v>421</v>
      </c>
      <c r="G69" s="44" t="s">
        <v>29</v>
      </c>
      <c r="H69" s="39">
        <v>4600002763</v>
      </c>
      <c r="I69" s="64">
        <v>24644770000135</v>
      </c>
      <c r="J69" s="85" t="s">
        <v>475</v>
      </c>
      <c r="K69" s="101" t="s">
        <v>372</v>
      </c>
      <c r="L69" s="40">
        <v>46082</v>
      </c>
      <c r="M69" s="49" t="s">
        <v>72</v>
      </c>
      <c r="N69" s="38" t="s">
        <v>73</v>
      </c>
      <c r="O69" s="37" t="s">
        <v>31</v>
      </c>
      <c r="P69" s="39" t="s">
        <v>294</v>
      </c>
      <c r="Q69" s="37" t="s">
        <v>29</v>
      </c>
      <c r="R69" s="43" t="s">
        <v>26</v>
      </c>
      <c r="S69" s="37" t="s">
        <v>29</v>
      </c>
      <c r="T69" s="40" t="s">
        <v>26</v>
      </c>
      <c r="U69" s="37" t="s">
        <v>31</v>
      </c>
      <c r="V69" s="43">
        <v>7</v>
      </c>
      <c r="W69" s="43">
        <v>30</v>
      </c>
      <c r="X69" s="37" t="s">
        <v>29</v>
      </c>
      <c r="Y69" s="39" t="s">
        <v>26</v>
      </c>
      <c r="Z69" s="44"/>
      <c r="AA69" s="39" t="s">
        <v>31</v>
      </c>
      <c r="AB69" s="118">
        <v>45658</v>
      </c>
    </row>
    <row r="70" spans="2:42" ht="30" hidden="1" x14ac:dyDescent="0.25">
      <c r="B70" s="82" t="s">
        <v>276</v>
      </c>
      <c r="C70" s="37" t="s">
        <v>70</v>
      </c>
      <c r="D70" s="103" t="s">
        <v>71</v>
      </c>
      <c r="E70" s="123" t="s">
        <v>271</v>
      </c>
      <c r="F70" s="44" t="s">
        <v>423</v>
      </c>
      <c r="G70" s="44" t="s">
        <v>29</v>
      </c>
      <c r="H70" s="39">
        <v>4600002958</v>
      </c>
      <c r="I70" s="64">
        <v>12621274000187</v>
      </c>
      <c r="J70" s="85" t="s">
        <v>475</v>
      </c>
      <c r="K70" s="101" t="s">
        <v>351</v>
      </c>
      <c r="L70" s="40">
        <v>46082</v>
      </c>
      <c r="M70" s="49" t="s">
        <v>72</v>
      </c>
      <c r="N70" s="38" t="s">
        <v>73</v>
      </c>
      <c r="O70" s="37" t="s">
        <v>31</v>
      </c>
      <c r="P70" s="39" t="s">
        <v>294</v>
      </c>
      <c r="Q70" s="37" t="s">
        <v>29</v>
      </c>
      <c r="R70" s="43" t="s">
        <v>26</v>
      </c>
      <c r="S70" s="37" t="s">
        <v>29</v>
      </c>
      <c r="T70" s="40" t="s">
        <v>26</v>
      </c>
      <c r="U70" s="37" t="s">
        <v>31</v>
      </c>
      <c r="V70" s="43">
        <v>11</v>
      </c>
      <c r="W70" s="43">
        <v>15</v>
      </c>
      <c r="X70" s="37" t="s">
        <v>29</v>
      </c>
      <c r="Y70" s="39" t="s">
        <v>26</v>
      </c>
      <c r="Z70" s="44"/>
      <c r="AA70" s="39" t="s">
        <v>31</v>
      </c>
      <c r="AB70" s="118">
        <v>45658</v>
      </c>
    </row>
    <row r="71" spans="2:42" ht="30" hidden="1" x14ac:dyDescent="0.25">
      <c r="B71" s="82" t="s">
        <v>276</v>
      </c>
      <c r="C71" s="37" t="s">
        <v>70</v>
      </c>
      <c r="D71" s="103" t="s">
        <v>71</v>
      </c>
      <c r="E71" s="124" t="s">
        <v>269</v>
      </c>
      <c r="F71" s="44" t="s">
        <v>420</v>
      </c>
      <c r="G71" s="44" t="s">
        <v>29</v>
      </c>
      <c r="H71" s="39">
        <v>4600002975</v>
      </c>
      <c r="I71" s="64">
        <v>21192337000118</v>
      </c>
      <c r="J71" s="85" t="s">
        <v>529</v>
      </c>
      <c r="K71" s="101" t="s">
        <v>361</v>
      </c>
      <c r="L71" s="40">
        <v>45838</v>
      </c>
      <c r="M71" s="45" t="s">
        <v>108</v>
      </c>
      <c r="N71" s="38" t="s">
        <v>28</v>
      </c>
      <c r="O71" s="37" t="s">
        <v>31</v>
      </c>
      <c r="P71" s="39" t="s">
        <v>294</v>
      </c>
      <c r="Q71" s="37" t="s">
        <v>29</v>
      </c>
      <c r="R71" s="43" t="s">
        <v>26</v>
      </c>
      <c r="S71" s="37" t="s">
        <v>29</v>
      </c>
      <c r="T71" s="40" t="s">
        <v>26</v>
      </c>
      <c r="U71" s="37" t="s">
        <v>31</v>
      </c>
      <c r="V71" s="43">
        <v>10.199999999999999</v>
      </c>
      <c r="W71" s="43">
        <v>30</v>
      </c>
      <c r="X71" s="37" t="s">
        <v>29</v>
      </c>
      <c r="Y71" s="39" t="s">
        <v>26</v>
      </c>
      <c r="Z71" s="44"/>
      <c r="AA71" s="39" t="s">
        <v>31</v>
      </c>
      <c r="AB71" s="118">
        <v>45658</v>
      </c>
    </row>
    <row r="72" spans="2:42" ht="30" hidden="1" x14ac:dyDescent="0.25">
      <c r="B72" s="82" t="s">
        <v>276</v>
      </c>
      <c r="C72" s="37" t="s">
        <v>70</v>
      </c>
      <c r="D72" s="103" t="s">
        <v>71</v>
      </c>
      <c r="E72" s="124" t="s">
        <v>269</v>
      </c>
      <c r="F72" s="44" t="s">
        <v>420</v>
      </c>
      <c r="G72" s="44" t="s">
        <v>29</v>
      </c>
      <c r="H72" s="39">
        <v>4600003015</v>
      </c>
      <c r="I72" s="64">
        <v>21192337000118</v>
      </c>
      <c r="J72" s="85" t="s">
        <v>531</v>
      </c>
      <c r="K72" s="101" t="s">
        <v>361</v>
      </c>
      <c r="L72" s="40">
        <v>45972</v>
      </c>
      <c r="M72" s="45" t="s">
        <v>145</v>
      </c>
      <c r="N72" s="38" t="s">
        <v>66</v>
      </c>
      <c r="O72" s="37" t="s">
        <v>31</v>
      </c>
      <c r="P72" s="39" t="s">
        <v>294</v>
      </c>
      <c r="Q72" s="37" t="s">
        <v>29</v>
      </c>
      <c r="R72" s="43" t="s">
        <v>26</v>
      </c>
      <c r="S72" s="37" t="s">
        <v>29</v>
      </c>
      <c r="T72" s="40" t="s">
        <v>26</v>
      </c>
      <c r="U72" s="37" t="s">
        <v>31</v>
      </c>
      <c r="V72" s="43">
        <v>10.199999999999999</v>
      </c>
      <c r="W72" s="43">
        <v>30</v>
      </c>
      <c r="X72" s="37" t="s">
        <v>29</v>
      </c>
      <c r="Y72" s="39" t="s">
        <v>26</v>
      </c>
      <c r="Z72" s="44"/>
      <c r="AA72" s="39" t="s">
        <v>31</v>
      </c>
      <c r="AB72" s="118">
        <v>45658</v>
      </c>
      <c r="AE72" s="69"/>
      <c r="AF72" s="69"/>
      <c r="AI72" s="69"/>
      <c r="AJ72" s="69"/>
      <c r="AN72" s="69"/>
      <c r="AO72" s="69"/>
      <c r="AP72" s="69"/>
    </row>
    <row r="73" spans="2:42" ht="30" hidden="1" x14ac:dyDescent="0.25">
      <c r="B73" s="82" t="s">
        <v>276</v>
      </c>
      <c r="C73" s="37" t="s">
        <v>70</v>
      </c>
      <c r="D73" s="103" t="s">
        <v>71</v>
      </c>
      <c r="E73" s="124" t="s">
        <v>269</v>
      </c>
      <c r="F73" s="44" t="s">
        <v>420</v>
      </c>
      <c r="G73" s="44" t="s">
        <v>29</v>
      </c>
      <c r="H73" s="39">
        <v>4600002969</v>
      </c>
      <c r="I73" s="64">
        <v>21192337000118</v>
      </c>
      <c r="J73" s="85" t="s">
        <v>527</v>
      </c>
      <c r="K73" s="101" t="s">
        <v>361</v>
      </c>
      <c r="L73" s="40">
        <v>45894</v>
      </c>
      <c r="M73" s="41" t="s">
        <v>112</v>
      </c>
      <c r="N73" s="38" t="s">
        <v>28</v>
      </c>
      <c r="O73" s="37" t="s">
        <v>31</v>
      </c>
      <c r="P73" s="39" t="s">
        <v>294</v>
      </c>
      <c r="Q73" s="37" t="s">
        <v>29</v>
      </c>
      <c r="R73" s="43" t="s">
        <v>26</v>
      </c>
      <c r="S73" s="37" t="s">
        <v>29</v>
      </c>
      <c r="T73" s="40" t="s">
        <v>26</v>
      </c>
      <c r="U73" s="37" t="s">
        <v>31</v>
      </c>
      <c r="V73" s="43">
        <v>10.199999999999999</v>
      </c>
      <c r="W73" s="43">
        <v>30</v>
      </c>
      <c r="X73" s="37" t="s">
        <v>29</v>
      </c>
      <c r="Y73" s="39" t="s">
        <v>26</v>
      </c>
      <c r="Z73" s="44"/>
      <c r="AA73" s="39" t="s">
        <v>31</v>
      </c>
      <c r="AB73" s="118">
        <v>45658</v>
      </c>
    </row>
    <row r="74" spans="2:42" ht="30" hidden="1" x14ac:dyDescent="0.25">
      <c r="B74" s="82" t="s">
        <v>276</v>
      </c>
      <c r="C74" s="37" t="s">
        <v>70</v>
      </c>
      <c r="D74" s="103" t="s">
        <v>71</v>
      </c>
      <c r="E74" s="124" t="s">
        <v>269</v>
      </c>
      <c r="F74" s="44" t="s">
        <v>420</v>
      </c>
      <c r="G74" s="44" t="s">
        <v>29</v>
      </c>
      <c r="H74" s="39">
        <v>4600003016</v>
      </c>
      <c r="I74" s="64">
        <v>19998410000100</v>
      </c>
      <c r="J74" s="85" t="s">
        <v>531</v>
      </c>
      <c r="K74" s="101" t="s">
        <v>358</v>
      </c>
      <c r="L74" s="40">
        <v>45972</v>
      </c>
      <c r="M74" s="45" t="s">
        <v>145</v>
      </c>
      <c r="N74" s="38" t="s">
        <v>66</v>
      </c>
      <c r="O74" s="37" t="s">
        <v>31</v>
      </c>
      <c r="P74" s="39" t="s">
        <v>294</v>
      </c>
      <c r="Q74" s="37" t="s">
        <v>29</v>
      </c>
      <c r="R74" s="43" t="s">
        <v>26</v>
      </c>
      <c r="S74" s="37" t="s">
        <v>29</v>
      </c>
      <c r="T74" s="40" t="s">
        <v>26</v>
      </c>
      <c r="U74" s="37" t="s">
        <v>31</v>
      </c>
      <c r="V74" s="43">
        <v>10.199999999999999</v>
      </c>
      <c r="W74" s="43">
        <v>30</v>
      </c>
      <c r="X74" s="37" t="s">
        <v>29</v>
      </c>
      <c r="Y74" s="39" t="s">
        <v>26</v>
      </c>
      <c r="Z74" s="44"/>
      <c r="AA74" s="39" t="s">
        <v>31</v>
      </c>
      <c r="AB74" s="118">
        <v>45658</v>
      </c>
      <c r="AE74" s="67"/>
      <c r="AF74" s="67"/>
      <c r="AI74" s="68"/>
      <c r="AJ74" s="67"/>
      <c r="AN74" s="68"/>
      <c r="AO74" s="20"/>
      <c r="AP74" s="20"/>
    </row>
    <row r="75" spans="2:42" ht="30" hidden="1" x14ac:dyDescent="0.25">
      <c r="B75" s="82" t="s">
        <v>276</v>
      </c>
      <c r="C75" s="37" t="s">
        <v>70</v>
      </c>
      <c r="D75" s="103" t="s">
        <v>71</v>
      </c>
      <c r="E75" s="124" t="s">
        <v>269</v>
      </c>
      <c r="F75" s="44" t="s">
        <v>420</v>
      </c>
      <c r="G75" s="44" t="s">
        <v>29</v>
      </c>
      <c r="H75" s="39">
        <v>4600002982</v>
      </c>
      <c r="I75" s="64">
        <v>3836739000126</v>
      </c>
      <c r="J75" s="85" t="s">
        <v>552</v>
      </c>
      <c r="K75" s="101" t="s">
        <v>320</v>
      </c>
      <c r="L75" s="40">
        <v>46021</v>
      </c>
      <c r="M75" s="45" t="s">
        <v>215</v>
      </c>
      <c r="N75" s="38" t="s">
        <v>73</v>
      </c>
      <c r="O75" s="37" t="s">
        <v>29</v>
      </c>
      <c r="P75" s="39" t="s">
        <v>10</v>
      </c>
      <c r="Q75" s="37" t="s">
        <v>31</v>
      </c>
      <c r="R75" s="43">
        <v>33</v>
      </c>
      <c r="S75" s="37" t="s">
        <v>31</v>
      </c>
      <c r="T75" s="40" t="s">
        <v>26</v>
      </c>
      <c r="U75" s="37" t="s">
        <v>31</v>
      </c>
      <c r="V75" s="43">
        <v>25</v>
      </c>
      <c r="W75" s="43" t="s">
        <v>26</v>
      </c>
      <c r="X75" s="37" t="s">
        <v>29</v>
      </c>
      <c r="Y75" s="39" t="s">
        <v>26</v>
      </c>
      <c r="Z75" s="44"/>
      <c r="AA75" s="39" t="s">
        <v>31</v>
      </c>
      <c r="AB75" s="118">
        <v>45658</v>
      </c>
    </row>
    <row r="76" spans="2:42" ht="30" hidden="1" x14ac:dyDescent="0.25">
      <c r="B76" s="82" t="s">
        <v>276</v>
      </c>
      <c r="C76" s="37" t="s">
        <v>70</v>
      </c>
      <c r="D76" s="103" t="s">
        <v>71</v>
      </c>
      <c r="E76" s="124" t="s">
        <v>269</v>
      </c>
      <c r="F76" s="44" t="s">
        <v>420</v>
      </c>
      <c r="G76" s="44" t="s">
        <v>29</v>
      </c>
      <c r="H76" s="39">
        <v>4600003011</v>
      </c>
      <c r="I76" s="64">
        <v>10295173000138</v>
      </c>
      <c r="J76" s="85" t="s">
        <v>518</v>
      </c>
      <c r="K76" s="101" t="s">
        <v>348</v>
      </c>
      <c r="L76" s="40">
        <v>45962</v>
      </c>
      <c r="M76" s="49" t="s">
        <v>199</v>
      </c>
      <c r="N76" s="38" t="s">
        <v>73</v>
      </c>
      <c r="O76" s="37" t="s">
        <v>31</v>
      </c>
      <c r="P76" s="39" t="s">
        <v>294</v>
      </c>
      <c r="Q76" s="37" t="s">
        <v>29</v>
      </c>
      <c r="R76" s="43" t="s">
        <v>26</v>
      </c>
      <c r="S76" s="37" t="s">
        <v>29</v>
      </c>
      <c r="T76" s="40" t="s">
        <v>26</v>
      </c>
      <c r="U76" s="37" t="s">
        <v>31</v>
      </c>
      <c r="V76" s="43">
        <v>12.2</v>
      </c>
      <c r="W76" s="43">
        <v>30</v>
      </c>
      <c r="X76" s="37" t="s">
        <v>29</v>
      </c>
      <c r="Y76" s="39" t="s">
        <v>26</v>
      </c>
      <c r="Z76" s="44"/>
      <c r="AA76" s="39" t="s">
        <v>31</v>
      </c>
      <c r="AB76" s="118">
        <v>45658</v>
      </c>
    </row>
    <row r="77" spans="2:42" ht="30" hidden="1" x14ac:dyDescent="0.25">
      <c r="B77" s="82" t="s">
        <v>276</v>
      </c>
      <c r="C77" s="37" t="s">
        <v>70</v>
      </c>
      <c r="D77" s="103" t="s">
        <v>71</v>
      </c>
      <c r="E77" s="124" t="s">
        <v>269</v>
      </c>
      <c r="F77" s="44" t="s">
        <v>420</v>
      </c>
      <c r="G77" s="44" t="s">
        <v>29</v>
      </c>
      <c r="H77" s="39">
        <v>4600002899</v>
      </c>
      <c r="I77" s="64">
        <v>7819808000144</v>
      </c>
      <c r="J77" s="85" t="s">
        <v>478</v>
      </c>
      <c r="K77" s="101" t="s">
        <v>341</v>
      </c>
      <c r="L77" s="40">
        <v>46783</v>
      </c>
      <c r="M77" s="49" t="s">
        <v>114</v>
      </c>
      <c r="N77" s="38" t="s">
        <v>73</v>
      </c>
      <c r="O77" s="37" t="s">
        <v>31</v>
      </c>
      <c r="P77" s="39" t="s">
        <v>294</v>
      </c>
      <c r="Q77" s="37" t="s">
        <v>29</v>
      </c>
      <c r="R77" s="43" t="s">
        <v>26</v>
      </c>
      <c r="S77" s="37" t="s">
        <v>29</v>
      </c>
      <c r="T77" s="40" t="s">
        <v>26</v>
      </c>
      <c r="U77" s="37" t="s">
        <v>31</v>
      </c>
      <c r="V77" s="43">
        <v>10</v>
      </c>
      <c r="W77" s="43">
        <v>30</v>
      </c>
      <c r="X77" s="37" t="s">
        <v>29</v>
      </c>
      <c r="Y77" s="39" t="s">
        <v>26</v>
      </c>
      <c r="Z77" s="44"/>
      <c r="AA77" s="39" t="s">
        <v>31</v>
      </c>
      <c r="AB77" s="118">
        <v>45658</v>
      </c>
    </row>
    <row r="78" spans="2:42" x14ac:dyDescent="0.25">
      <c r="B78" s="82" t="s">
        <v>276</v>
      </c>
      <c r="C78" s="37" t="s">
        <v>25</v>
      </c>
      <c r="D78" s="103" t="s">
        <v>439</v>
      </c>
      <c r="E78" s="124" t="s">
        <v>269</v>
      </c>
      <c r="F78" s="44"/>
      <c r="G78" s="39" t="s">
        <v>31</v>
      </c>
      <c r="H78" s="39" t="s">
        <v>587</v>
      </c>
      <c r="I78" s="64" t="s">
        <v>286</v>
      </c>
      <c r="J78" s="85" t="s">
        <v>508</v>
      </c>
      <c r="K78" s="115" t="s">
        <v>57</v>
      </c>
      <c r="L78" s="46">
        <v>46204</v>
      </c>
      <c r="M78" s="47" t="s">
        <v>27</v>
      </c>
      <c r="N78" s="37" t="s">
        <v>25</v>
      </c>
      <c r="O78" s="37"/>
      <c r="P78" s="39" t="s">
        <v>294</v>
      </c>
      <c r="Q78" s="37"/>
      <c r="R78" s="43"/>
      <c r="S78" s="37"/>
      <c r="T78" s="40"/>
      <c r="U78" s="37"/>
      <c r="V78" s="43"/>
      <c r="W78" s="43"/>
      <c r="X78" s="37"/>
      <c r="Y78" s="39"/>
      <c r="Z78" s="44" t="s">
        <v>548</v>
      </c>
      <c r="AA78" s="39" t="s">
        <v>31</v>
      </c>
      <c r="AB78" s="118">
        <v>45717</v>
      </c>
      <c r="AE78" s="69"/>
      <c r="AF78" s="69"/>
      <c r="AI78" s="69"/>
      <c r="AJ78" s="69"/>
      <c r="AN78" s="69"/>
      <c r="AO78" s="69"/>
      <c r="AP78" s="69"/>
    </row>
    <row r="79" spans="2:42" ht="30" hidden="1" x14ac:dyDescent="0.25">
      <c r="B79" s="82" t="s">
        <v>276</v>
      </c>
      <c r="C79" s="37" t="s">
        <v>70</v>
      </c>
      <c r="D79" s="103" t="s">
        <v>71</v>
      </c>
      <c r="E79" s="124" t="s">
        <v>269</v>
      </c>
      <c r="F79" s="44" t="s">
        <v>420</v>
      </c>
      <c r="G79" s="44" t="s">
        <v>29</v>
      </c>
      <c r="H79" s="39">
        <v>4600002999</v>
      </c>
      <c r="I79" s="64">
        <v>13444227000178</v>
      </c>
      <c r="J79" s="85" t="s">
        <v>517</v>
      </c>
      <c r="K79" s="101" t="s">
        <v>352</v>
      </c>
      <c r="L79" s="40">
        <v>45930</v>
      </c>
      <c r="M79" s="49" t="s">
        <v>173</v>
      </c>
      <c r="N79" s="38" t="s">
        <v>73</v>
      </c>
      <c r="O79" s="37" t="s">
        <v>31</v>
      </c>
      <c r="P79" s="39" t="s">
        <v>294</v>
      </c>
      <c r="Q79" s="37" t="s">
        <v>29</v>
      </c>
      <c r="R79" s="43" t="s">
        <v>26</v>
      </c>
      <c r="S79" s="37" t="s">
        <v>29</v>
      </c>
      <c r="T79" s="40" t="s">
        <v>26</v>
      </c>
      <c r="U79" s="37" t="s">
        <v>31</v>
      </c>
      <c r="V79" s="43">
        <v>10</v>
      </c>
      <c r="W79" s="43">
        <v>30</v>
      </c>
      <c r="X79" s="37" t="s">
        <v>29</v>
      </c>
      <c r="Y79" s="39" t="s">
        <v>26</v>
      </c>
      <c r="Z79" s="44"/>
      <c r="AA79" s="39" t="s">
        <v>31</v>
      </c>
      <c r="AB79" s="118">
        <v>45658</v>
      </c>
      <c r="AE79" s="69"/>
      <c r="AF79" s="69"/>
      <c r="AI79" s="69"/>
      <c r="AJ79" s="69"/>
      <c r="AN79" s="69"/>
      <c r="AO79" s="69"/>
      <c r="AP79" s="69"/>
    </row>
    <row r="80" spans="2:42" ht="30" hidden="1" x14ac:dyDescent="0.25">
      <c r="B80" s="82" t="s">
        <v>276</v>
      </c>
      <c r="C80" s="37" t="s">
        <v>70</v>
      </c>
      <c r="D80" s="103" t="s">
        <v>71</v>
      </c>
      <c r="E80" s="124" t="s">
        <v>269</v>
      </c>
      <c r="F80" s="44" t="s">
        <v>420</v>
      </c>
      <c r="G80" s="44" t="s">
        <v>29</v>
      </c>
      <c r="H80" s="39">
        <v>4600003004</v>
      </c>
      <c r="I80" s="64">
        <v>81213951000140</v>
      </c>
      <c r="J80" s="85" t="s">
        <v>518</v>
      </c>
      <c r="K80" s="101" t="s">
        <v>299</v>
      </c>
      <c r="L80" s="40">
        <v>45930</v>
      </c>
      <c r="M80" s="49" t="s">
        <v>211</v>
      </c>
      <c r="N80" s="38" t="s">
        <v>73</v>
      </c>
      <c r="O80" s="37" t="s">
        <v>31</v>
      </c>
      <c r="P80" s="39" t="s">
        <v>294</v>
      </c>
      <c r="Q80" s="37" t="s">
        <v>29</v>
      </c>
      <c r="R80" s="43" t="s">
        <v>26</v>
      </c>
      <c r="S80" s="37" t="s">
        <v>29</v>
      </c>
      <c r="T80" s="40" t="s">
        <v>26</v>
      </c>
      <c r="U80" s="37" t="s">
        <v>31</v>
      </c>
      <c r="V80" s="43">
        <v>10.199999999999999</v>
      </c>
      <c r="W80" s="43">
        <v>30</v>
      </c>
      <c r="X80" s="37" t="s">
        <v>29</v>
      </c>
      <c r="Y80" s="39" t="s">
        <v>26</v>
      </c>
      <c r="Z80" s="44"/>
      <c r="AA80" s="39" t="s">
        <v>31</v>
      </c>
      <c r="AB80" s="118">
        <v>45658</v>
      </c>
    </row>
    <row r="81" spans="1:54" ht="30" x14ac:dyDescent="0.25">
      <c r="B81" s="82" t="s">
        <v>276</v>
      </c>
      <c r="C81" s="37" t="s">
        <v>25</v>
      </c>
      <c r="D81" s="103" t="s">
        <v>439</v>
      </c>
      <c r="E81" s="124" t="s">
        <v>269</v>
      </c>
      <c r="F81" s="44"/>
      <c r="G81" s="39" t="s">
        <v>31</v>
      </c>
      <c r="H81" s="39" t="s">
        <v>587</v>
      </c>
      <c r="I81" s="64" t="s">
        <v>285</v>
      </c>
      <c r="J81" s="85" t="s">
        <v>508</v>
      </c>
      <c r="K81" s="115" t="s">
        <v>45</v>
      </c>
      <c r="L81" s="46">
        <v>45808</v>
      </c>
      <c r="M81" s="47" t="s">
        <v>27</v>
      </c>
      <c r="N81" s="37" t="s">
        <v>25</v>
      </c>
      <c r="O81" s="37"/>
      <c r="P81" s="39" t="s">
        <v>294</v>
      </c>
      <c r="Q81" s="37"/>
      <c r="R81" s="43"/>
      <c r="S81" s="37"/>
      <c r="T81" s="40"/>
      <c r="U81" s="37"/>
      <c r="V81" s="43"/>
      <c r="W81" s="43"/>
      <c r="X81" s="37"/>
      <c r="Y81" s="39"/>
      <c r="Z81" s="44" t="s">
        <v>548</v>
      </c>
      <c r="AA81" s="39" t="s">
        <v>31</v>
      </c>
      <c r="AB81" s="118">
        <v>45717</v>
      </c>
      <c r="AE81" s="69"/>
      <c r="AF81" s="69"/>
      <c r="AI81" s="69"/>
      <c r="AJ81" s="69"/>
      <c r="AN81" s="69"/>
      <c r="AO81" s="69"/>
      <c r="AP81" s="69"/>
    </row>
    <row r="82" spans="1:54" ht="30" hidden="1" x14ac:dyDescent="0.25">
      <c r="B82" s="82" t="s">
        <v>276</v>
      </c>
      <c r="C82" s="37" t="s">
        <v>70</v>
      </c>
      <c r="D82" s="103" t="s">
        <v>71</v>
      </c>
      <c r="E82" s="124" t="s">
        <v>269</v>
      </c>
      <c r="F82" s="44" t="s">
        <v>420</v>
      </c>
      <c r="G82" s="44" t="s">
        <v>29</v>
      </c>
      <c r="H82" s="39">
        <v>4600002972</v>
      </c>
      <c r="I82" s="64">
        <v>61353199000126</v>
      </c>
      <c r="J82" s="85" t="s">
        <v>478</v>
      </c>
      <c r="K82" s="101" t="s">
        <v>405</v>
      </c>
      <c r="L82" s="40">
        <v>45899</v>
      </c>
      <c r="M82" s="49" t="s">
        <v>106</v>
      </c>
      <c r="N82" s="38" t="s">
        <v>73</v>
      </c>
      <c r="O82" s="37" t="s">
        <v>31</v>
      </c>
      <c r="P82" s="39" t="s">
        <v>294</v>
      </c>
      <c r="Q82" s="37" t="s">
        <v>29</v>
      </c>
      <c r="R82" s="43" t="s">
        <v>26</v>
      </c>
      <c r="S82" s="37" t="s">
        <v>29</v>
      </c>
      <c r="T82" s="40" t="s">
        <v>26</v>
      </c>
      <c r="U82" s="37" t="s">
        <v>31</v>
      </c>
      <c r="V82" s="43">
        <v>10</v>
      </c>
      <c r="W82" s="43">
        <v>30</v>
      </c>
      <c r="X82" s="37" t="s">
        <v>29</v>
      </c>
      <c r="Y82" s="39" t="s">
        <v>26</v>
      </c>
      <c r="Z82" s="44"/>
      <c r="AA82" s="39" t="s">
        <v>31</v>
      </c>
      <c r="AB82" s="118">
        <v>45658</v>
      </c>
    </row>
    <row r="83" spans="1:54" ht="30" hidden="1" x14ac:dyDescent="0.25">
      <c r="B83" s="82" t="s">
        <v>276</v>
      </c>
      <c r="C83" s="37" t="s">
        <v>70</v>
      </c>
      <c r="D83" s="103" t="s">
        <v>71</v>
      </c>
      <c r="E83" s="124" t="s">
        <v>269</v>
      </c>
      <c r="F83" s="44" t="s">
        <v>420</v>
      </c>
      <c r="G83" s="44" t="s">
        <v>29</v>
      </c>
      <c r="H83" s="39">
        <v>4600002991</v>
      </c>
      <c r="I83" s="64">
        <v>61353199001289</v>
      </c>
      <c r="J83" s="85" t="s">
        <v>527</v>
      </c>
      <c r="K83" s="101" t="s">
        <v>405</v>
      </c>
      <c r="L83" s="40">
        <v>45894</v>
      </c>
      <c r="M83" s="45" t="s">
        <v>112</v>
      </c>
      <c r="N83" s="38" t="s">
        <v>28</v>
      </c>
      <c r="O83" s="37" t="s">
        <v>31</v>
      </c>
      <c r="P83" s="39" t="s">
        <v>294</v>
      </c>
      <c r="Q83" s="37" t="s">
        <v>29</v>
      </c>
      <c r="R83" s="43" t="s">
        <v>26</v>
      </c>
      <c r="S83" s="37" t="s">
        <v>29</v>
      </c>
      <c r="T83" s="40" t="s">
        <v>26</v>
      </c>
      <c r="U83" s="37" t="s">
        <v>31</v>
      </c>
      <c r="V83" s="43">
        <v>10.199999999999999</v>
      </c>
      <c r="W83" s="43">
        <v>30</v>
      </c>
      <c r="X83" s="37" t="s">
        <v>29</v>
      </c>
      <c r="Y83" s="39" t="s">
        <v>26</v>
      </c>
      <c r="Z83" s="44"/>
      <c r="AA83" s="39" t="s">
        <v>31</v>
      </c>
      <c r="AB83" s="118">
        <v>45658</v>
      </c>
    </row>
    <row r="84" spans="1:54" ht="30" hidden="1" x14ac:dyDescent="0.25">
      <c r="B84" s="82" t="s">
        <v>276</v>
      </c>
      <c r="C84" s="37" t="s">
        <v>70</v>
      </c>
      <c r="D84" s="103" t="s">
        <v>71</v>
      </c>
      <c r="E84" s="123" t="s">
        <v>271</v>
      </c>
      <c r="F84" s="44" t="s">
        <v>422</v>
      </c>
      <c r="G84" s="44" t="s">
        <v>614</v>
      </c>
      <c r="H84" s="84">
        <v>4600003024</v>
      </c>
      <c r="I84" s="85">
        <v>10970887003381</v>
      </c>
      <c r="J84" s="85" t="s">
        <v>477</v>
      </c>
      <c r="K84" s="116" t="s">
        <v>406</v>
      </c>
      <c r="L84" s="86">
        <v>45747</v>
      </c>
      <c r="M84" s="87" t="s">
        <v>132</v>
      </c>
      <c r="N84" s="38" t="s">
        <v>73</v>
      </c>
      <c r="O84" s="88" t="s">
        <v>29</v>
      </c>
      <c r="P84" s="77" t="s">
        <v>295</v>
      </c>
      <c r="Q84" s="88" t="s">
        <v>31</v>
      </c>
      <c r="R84" s="89" t="s">
        <v>133</v>
      </c>
      <c r="S84" s="88" t="s">
        <v>31</v>
      </c>
      <c r="T84" s="86" t="s">
        <v>26</v>
      </c>
      <c r="U84" s="88" t="s">
        <v>31</v>
      </c>
      <c r="V84" s="89">
        <v>10</v>
      </c>
      <c r="W84" s="89">
        <v>90</v>
      </c>
      <c r="X84" s="88" t="s">
        <v>29</v>
      </c>
      <c r="Y84" s="77" t="s">
        <v>26</v>
      </c>
      <c r="Z84" s="79"/>
      <c r="AA84" s="77" t="s">
        <v>31</v>
      </c>
      <c r="AB84" s="118">
        <v>45658</v>
      </c>
      <c r="AE84" s="69"/>
      <c r="AF84" s="69"/>
      <c r="AI84" s="69"/>
      <c r="AJ84" s="69"/>
      <c r="AN84" s="69"/>
      <c r="AO84" s="69"/>
      <c r="AP84" s="69"/>
    </row>
    <row r="85" spans="1:54" ht="30" hidden="1" x14ac:dyDescent="0.25">
      <c r="B85" s="82" t="s">
        <v>276</v>
      </c>
      <c r="C85" s="37" t="s">
        <v>70</v>
      </c>
      <c r="D85" s="103" t="s">
        <v>71</v>
      </c>
      <c r="E85" s="123" t="s">
        <v>271</v>
      </c>
      <c r="F85" s="44" t="s">
        <v>422</v>
      </c>
      <c r="G85" s="44" t="s">
        <v>614</v>
      </c>
      <c r="H85" s="84">
        <v>4600003026</v>
      </c>
      <c r="I85" s="85">
        <v>10970887005910</v>
      </c>
      <c r="J85" s="85" t="s">
        <v>477</v>
      </c>
      <c r="K85" s="116" t="s">
        <v>406</v>
      </c>
      <c r="L85" s="86">
        <v>45747</v>
      </c>
      <c r="M85" s="87" t="s">
        <v>186</v>
      </c>
      <c r="N85" s="38" t="s">
        <v>73</v>
      </c>
      <c r="O85" s="88" t="s">
        <v>29</v>
      </c>
      <c r="P85" s="77" t="s">
        <v>295</v>
      </c>
      <c r="Q85" s="88" t="s">
        <v>31</v>
      </c>
      <c r="R85" s="89" t="s">
        <v>133</v>
      </c>
      <c r="S85" s="88" t="s">
        <v>31</v>
      </c>
      <c r="T85" s="86"/>
      <c r="U85" s="88" t="s">
        <v>31</v>
      </c>
      <c r="V85" s="89">
        <v>10.199999999999999</v>
      </c>
      <c r="W85" s="89">
        <v>90</v>
      </c>
      <c r="X85" s="88" t="s">
        <v>29</v>
      </c>
      <c r="Y85" s="77" t="s">
        <v>26</v>
      </c>
      <c r="Z85" s="79" t="s">
        <v>187</v>
      </c>
      <c r="AA85" s="77" t="s">
        <v>31</v>
      </c>
      <c r="AB85" s="118">
        <v>45658</v>
      </c>
      <c r="AE85" s="69"/>
      <c r="AF85" s="69"/>
      <c r="AI85" s="69"/>
      <c r="AJ85" s="69"/>
      <c r="AN85" s="69"/>
      <c r="AO85" s="69"/>
      <c r="AP85" s="69"/>
    </row>
    <row r="86" spans="1:54" s="17" customFormat="1" ht="30" hidden="1" x14ac:dyDescent="0.25">
      <c r="A86" s="1"/>
      <c r="B86" s="82" t="s">
        <v>276</v>
      </c>
      <c r="C86" s="37" t="s">
        <v>70</v>
      </c>
      <c r="D86" s="103" t="s">
        <v>71</v>
      </c>
      <c r="E86" s="123" t="s">
        <v>271</v>
      </c>
      <c r="F86" s="44" t="s">
        <v>422</v>
      </c>
      <c r="G86" s="44" t="s">
        <v>614</v>
      </c>
      <c r="H86" s="84">
        <v>4600003027</v>
      </c>
      <c r="I86" s="85">
        <v>10970887006305</v>
      </c>
      <c r="J86" s="85" t="s">
        <v>477</v>
      </c>
      <c r="K86" s="116" t="s">
        <v>407</v>
      </c>
      <c r="L86" s="86">
        <v>45747</v>
      </c>
      <c r="M86" s="87" t="s">
        <v>189</v>
      </c>
      <c r="N86" s="38" t="s">
        <v>73</v>
      </c>
      <c r="O86" s="88" t="s">
        <v>29</v>
      </c>
      <c r="P86" s="77" t="s">
        <v>295</v>
      </c>
      <c r="Q86" s="88" t="s">
        <v>31</v>
      </c>
      <c r="R86" s="89" t="s">
        <v>133</v>
      </c>
      <c r="S86" s="88" t="s">
        <v>31</v>
      </c>
      <c r="T86" s="86"/>
      <c r="U86" s="88" t="s">
        <v>31</v>
      </c>
      <c r="V86" s="89">
        <v>10.199999999999999</v>
      </c>
      <c r="W86" s="89">
        <v>90</v>
      </c>
      <c r="X86" s="88" t="s">
        <v>29</v>
      </c>
      <c r="Y86" s="77" t="s">
        <v>26</v>
      </c>
      <c r="Z86" s="79" t="s">
        <v>187</v>
      </c>
      <c r="AA86" s="77" t="s">
        <v>31</v>
      </c>
      <c r="AB86" s="118">
        <v>45658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ht="30" hidden="1" x14ac:dyDescent="0.25">
      <c r="B87" s="82" t="s">
        <v>276</v>
      </c>
      <c r="C87" s="37" t="s">
        <v>70</v>
      </c>
      <c r="D87" s="103" t="s">
        <v>71</v>
      </c>
      <c r="E87" s="123" t="s">
        <v>271</v>
      </c>
      <c r="F87" s="44" t="s">
        <v>422</v>
      </c>
      <c r="G87" s="44" t="s">
        <v>614</v>
      </c>
      <c r="H87" s="84">
        <v>4600003025</v>
      </c>
      <c r="I87" s="85">
        <v>10970887006488</v>
      </c>
      <c r="J87" s="85" t="s">
        <v>477</v>
      </c>
      <c r="K87" s="116" t="s">
        <v>407</v>
      </c>
      <c r="L87" s="86">
        <v>45747</v>
      </c>
      <c r="M87" s="87" t="s">
        <v>142</v>
      </c>
      <c r="N87" s="38" t="s">
        <v>73</v>
      </c>
      <c r="O87" s="88" t="s">
        <v>29</v>
      </c>
      <c r="P87" s="77" t="s">
        <v>295</v>
      </c>
      <c r="Q87" s="88" t="s">
        <v>31</v>
      </c>
      <c r="R87" s="89" t="s">
        <v>133</v>
      </c>
      <c r="S87" s="88" t="s">
        <v>31</v>
      </c>
      <c r="T87" s="86" t="s">
        <v>26</v>
      </c>
      <c r="U87" s="88" t="s">
        <v>31</v>
      </c>
      <c r="V87" s="89">
        <v>10</v>
      </c>
      <c r="W87" s="89">
        <v>90</v>
      </c>
      <c r="X87" s="88" t="s">
        <v>29</v>
      </c>
      <c r="Y87" s="77" t="s">
        <v>26</v>
      </c>
      <c r="Z87" s="79"/>
      <c r="AA87" s="77" t="s">
        <v>31</v>
      </c>
      <c r="AB87" s="118">
        <v>45658</v>
      </c>
    </row>
    <row r="88" spans="1:54" s="17" customFormat="1" ht="30" hidden="1" x14ac:dyDescent="0.25">
      <c r="A88" s="1"/>
      <c r="B88" s="82" t="s">
        <v>276</v>
      </c>
      <c r="C88" s="37" t="s">
        <v>70</v>
      </c>
      <c r="D88" s="103" t="s">
        <v>71</v>
      </c>
      <c r="E88" s="124" t="s">
        <v>269</v>
      </c>
      <c r="F88" s="44" t="s">
        <v>420</v>
      </c>
      <c r="G88" s="44" t="s">
        <v>29</v>
      </c>
      <c r="H88" s="39">
        <v>4600002894</v>
      </c>
      <c r="I88" s="64">
        <v>30161752000103</v>
      </c>
      <c r="J88" s="85" t="s">
        <v>518</v>
      </c>
      <c r="K88" s="101" t="s">
        <v>381</v>
      </c>
      <c r="L88" s="40">
        <v>45869</v>
      </c>
      <c r="M88" s="49" t="s">
        <v>210</v>
      </c>
      <c r="N88" s="38" t="s">
        <v>73</v>
      </c>
      <c r="O88" s="37" t="s">
        <v>31</v>
      </c>
      <c r="P88" s="39" t="s">
        <v>294</v>
      </c>
      <c r="Q88" s="37" t="s">
        <v>29</v>
      </c>
      <c r="R88" s="43" t="s">
        <v>26</v>
      </c>
      <c r="S88" s="37" t="s">
        <v>29</v>
      </c>
      <c r="T88" s="40" t="s">
        <v>26</v>
      </c>
      <c r="U88" s="37" t="s">
        <v>31</v>
      </c>
      <c r="V88" s="43">
        <v>10.199999999999999</v>
      </c>
      <c r="W88" s="43">
        <v>30</v>
      </c>
      <c r="X88" s="37" t="s">
        <v>29</v>
      </c>
      <c r="Y88" s="39" t="s">
        <v>26</v>
      </c>
      <c r="Z88" s="44"/>
      <c r="AA88" s="39" t="s">
        <v>31</v>
      </c>
      <c r="AB88" s="118">
        <v>45658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ht="30" hidden="1" x14ac:dyDescent="0.25">
      <c r="B89" s="82" t="s">
        <v>276</v>
      </c>
      <c r="C89" s="37" t="s">
        <v>70</v>
      </c>
      <c r="D89" s="103" t="s">
        <v>71</v>
      </c>
      <c r="E89" s="124" t="s">
        <v>269</v>
      </c>
      <c r="F89" s="44" t="s">
        <v>420</v>
      </c>
      <c r="G89" s="44" t="s">
        <v>29</v>
      </c>
      <c r="H89" s="39">
        <v>4600002979</v>
      </c>
      <c r="I89" s="64">
        <v>8489396000194</v>
      </c>
      <c r="J89" s="85" t="s">
        <v>518</v>
      </c>
      <c r="K89" s="101" t="s">
        <v>344</v>
      </c>
      <c r="L89" s="40">
        <v>45809</v>
      </c>
      <c r="M89" s="49" t="s">
        <v>203</v>
      </c>
      <c r="N89" s="38" t="s">
        <v>73</v>
      </c>
      <c r="O89" s="37" t="s">
        <v>31</v>
      </c>
      <c r="P89" s="39" t="s">
        <v>294</v>
      </c>
      <c r="Q89" s="37" t="s">
        <v>29</v>
      </c>
      <c r="R89" s="43" t="s">
        <v>26</v>
      </c>
      <c r="S89" s="37" t="s">
        <v>29</v>
      </c>
      <c r="T89" s="40" t="s">
        <v>26</v>
      </c>
      <c r="U89" s="37" t="s">
        <v>31</v>
      </c>
      <c r="V89" s="43">
        <v>12.2</v>
      </c>
      <c r="W89" s="43">
        <v>30</v>
      </c>
      <c r="X89" s="37" t="s">
        <v>29</v>
      </c>
      <c r="Y89" s="39" t="s">
        <v>26</v>
      </c>
      <c r="Z89" s="44"/>
      <c r="AA89" s="39" t="s">
        <v>31</v>
      </c>
      <c r="AB89" s="118">
        <v>45658</v>
      </c>
    </row>
    <row r="90" spans="1:54" ht="30" hidden="1" x14ac:dyDescent="0.25">
      <c r="B90" s="82" t="s">
        <v>276</v>
      </c>
      <c r="C90" s="37" t="s">
        <v>70</v>
      </c>
      <c r="D90" s="103" t="s">
        <v>71</v>
      </c>
      <c r="E90" s="124" t="s">
        <v>269</v>
      </c>
      <c r="F90" s="44" t="s">
        <v>420</v>
      </c>
      <c r="G90" s="44" t="s">
        <v>29</v>
      </c>
      <c r="H90" s="39">
        <v>4600002974</v>
      </c>
      <c r="I90" s="64">
        <v>70080825000149</v>
      </c>
      <c r="J90" s="85" t="s">
        <v>529</v>
      </c>
      <c r="K90" s="101" t="s">
        <v>303</v>
      </c>
      <c r="L90" s="40">
        <v>45838</v>
      </c>
      <c r="M90" s="45" t="s">
        <v>108</v>
      </c>
      <c r="N90" s="38" t="s">
        <v>28</v>
      </c>
      <c r="O90" s="37" t="s">
        <v>31</v>
      </c>
      <c r="P90" s="39" t="s">
        <v>294</v>
      </c>
      <c r="Q90" s="37" t="s">
        <v>29</v>
      </c>
      <c r="R90" s="43" t="s">
        <v>26</v>
      </c>
      <c r="S90" s="37" t="s">
        <v>29</v>
      </c>
      <c r="T90" s="40" t="s">
        <v>26</v>
      </c>
      <c r="U90" s="37" t="s">
        <v>31</v>
      </c>
      <c r="V90" s="43">
        <v>10.199999999999999</v>
      </c>
      <c r="W90" s="43">
        <v>30</v>
      </c>
      <c r="X90" s="37" t="s">
        <v>29</v>
      </c>
      <c r="Y90" s="39" t="s">
        <v>26</v>
      </c>
      <c r="Z90" s="44"/>
      <c r="AA90" s="39" t="s">
        <v>31</v>
      </c>
      <c r="AB90" s="118">
        <v>45658</v>
      </c>
    </row>
    <row r="91" spans="1:54" s="17" customFormat="1" ht="30" hidden="1" x14ac:dyDescent="0.25">
      <c r="A91" s="1"/>
      <c r="B91" s="82" t="s">
        <v>276</v>
      </c>
      <c r="C91" s="37" t="s">
        <v>70</v>
      </c>
      <c r="D91" s="103" t="s">
        <v>71</v>
      </c>
      <c r="E91" s="124" t="s">
        <v>269</v>
      </c>
      <c r="F91" s="44" t="s">
        <v>420</v>
      </c>
      <c r="G91" s="44" t="s">
        <v>29</v>
      </c>
      <c r="H91" s="39">
        <v>4600003014</v>
      </c>
      <c r="I91" s="64">
        <v>5324828000119</v>
      </c>
      <c r="J91" s="85" t="s">
        <v>531</v>
      </c>
      <c r="K91" s="101" t="s">
        <v>331</v>
      </c>
      <c r="L91" s="40">
        <v>45972</v>
      </c>
      <c r="M91" s="45" t="s">
        <v>145</v>
      </c>
      <c r="N91" s="38" t="s">
        <v>66</v>
      </c>
      <c r="O91" s="37" t="s">
        <v>31</v>
      </c>
      <c r="P91" s="39" t="s">
        <v>294</v>
      </c>
      <c r="Q91" s="37" t="s">
        <v>29</v>
      </c>
      <c r="R91" s="43" t="s">
        <v>26</v>
      </c>
      <c r="S91" s="37" t="s">
        <v>29</v>
      </c>
      <c r="T91" s="40" t="s">
        <v>26</v>
      </c>
      <c r="U91" s="37" t="s">
        <v>31</v>
      </c>
      <c r="V91" s="43">
        <v>10.199999999999999</v>
      </c>
      <c r="W91" s="43">
        <v>30</v>
      </c>
      <c r="X91" s="37" t="s">
        <v>29</v>
      </c>
      <c r="Y91" s="39" t="s">
        <v>26</v>
      </c>
      <c r="Z91" s="44"/>
      <c r="AA91" s="39" t="s">
        <v>31</v>
      </c>
      <c r="AB91" s="118">
        <v>45658</v>
      </c>
      <c r="AC91" s="1"/>
      <c r="AD91" s="1"/>
      <c r="AE91" s="69"/>
      <c r="AF91" s="69"/>
      <c r="AG91" s="1"/>
      <c r="AH91" s="1"/>
      <c r="AI91" s="69"/>
      <c r="AJ91" s="69"/>
      <c r="AK91" s="1"/>
      <c r="AL91" s="1"/>
      <c r="AM91" s="1"/>
      <c r="AN91" s="69"/>
      <c r="AO91" s="69"/>
      <c r="AP91" s="69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ht="30" hidden="1" x14ac:dyDescent="0.25">
      <c r="B92" s="82" t="s">
        <v>276</v>
      </c>
      <c r="C92" s="37" t="s">
        <v>70</v>
      </c>
      <c r="D92" s="103" t="s">
        <v>71</v>
      </c>
      <c r="E92" s="124" t="s">
        <v>269</v>
      </c>
      <c r="F92" s="44" t="s">
        <v>420</v>
      </c>
      <c r="G92" s="44" t="s">
        <v>29</v>
      </c>
      <c r="H92" s="39">
        <v>4600002994</v>
      </c>
      <c r="I92" s="64">
        <v>5324828000119</v>
      </c>
      <c r="J92" s="85" t="s">
        <v>527</v>
      </c>
      <c r="K92" s="101" t="s">
        <v>331</v>
      </c>
      <c r="L92" s="40">
        <v>45894</v>
      </c>
      <c r="M92" s="45" t="s">
        <v>112</v>
      </c>
      <c r="N92" s="38" t="s">
        <v>28</v>
      </c>
      <c r="O92" s="37" t="s">
        <v>31</v>
      </c>
      <c r="P92" s="39" t="s">
        <v>294</v>
      </c>
      <c r="Q92" s="37" t="s">
        <v>29</v>
      </c>
      <c r="R92" s="43" t="s">
        <v>26</v>
      </c>
      <c r="S92" s="37" t="s">
        <v>29</v>
      </c>
      <c r="T92" s="40" t="s">
        <v>26</v>
      </c>
      <c r="U92" s="37" t="s">
        <v>31</v>
      </c>
      <c r="V92" s="43">
        <v>10.199999999999999</v>
      </c>
      <c r="W92" s="43">
        <v>30</v>
      </c>
      <c r="X92" s="37" t="s">
        <v>29</v>
      </c>
      <c r="Y92" s="39" t="s">
        <v>26</v>
      </c>
      <c r="Z92" s="44"/>
      <c r="AA92" s="39" t="s">
        <v>31</v>
      </c>
      <c r="AB92" s="118">
        <v>45658</v>
      </c>
    </row>
    <row r="93" spans="1:54" ht="30" hidden="1" x14ac:dyDescent="0.25">
      <c r="B93" s="82" t="s">
        <v>276</v>
      </c>
      <c r="C93" s="37" t="s">
        <v>70</v>
      </c>
      <c r="D93" s="103" t="s">
        <v>71</v>
      </c>
      <c r="E93" s="124" t="s">
        <v>269</v>
      </c>
      <c r="F93" s="44" t="s">
        <v>420</v>
      </c>
      <c r="G93" s="44" t="s">
        <v>29</v>
      </c>
      <c r="H93" s="39">
        <v>4600002916</v>
      </c>
      <c r="I93" s="64">
        <v>40351058000102</v>
      </c>
      <c r="J93" s="85" t="s">
        <v>478</v>
      </c>
      <c r="K93" s="101" t="s">
        <v>397</v>
      </c>
      <c r="L93" s="40">
        <v>45771</v>
      </c>
      <c r="M93" s="41" t="s">
        <v>179</v>
      </c>
      <c r="N93" s="38" t="s">
        <v>73</v>
      </c>
      <c r="O93" s="37" t="s">
        <v>31</v>
      </c>
      <c r="P93" s="39" t="s">
        <v>294</v>
      </c>
      <c r="Q93" s="37" t="s">
        <v>29</v>
      </c>
      <c r="R93" s="43" t="s">
        <v>26</v>
      </c>
      <c r="S93" s="37" t="s">
        <v>29</v>
      </c>
      <c r="T93" s="40" t="s">
        <v>26</v>
      </c>
      <c r="U93" s="37" t="s">
        <v>31</v>
      </c>
      <c r="V93" s="43">
        <v>10.199999999999999</v>
      </c>
      <c r="W93" s="43">
        <v>60</v>
      </c>
      <c r="X93" s="37" t="s">
        <v>29</v>
      </c>
      <c r="Y93" s="39" t="s">
        <v>26</v>
      </c>
      <c r="Z93" s="44"/>
      <c r="AA93" s="39" t="s">
        <v>31</v>
      </c>
      <c r="AB93" s="118">
        <v>45658</v>
      </c>
      <c r="AE93" s="69"/>
      <c r="AF93" s="69"/>
      <c r="AI93" s="69"/>
      <c r="AJ93" s="69"/>
      <c r="AN93" s="69"/>
      <c r="AO93" s="69"/>
      <c r="AP93" s="69"/>
    </row>
    <row r="94" spans="1:54" ht="30" hidden="1" x14ac:dyDescent="0.25">
      <c r="B94" s="82" t="s">
        <v>276</v>
      </c>
      <c r="C94" s="37" t="s">
        <v>70</v>
      </c>
      <c r="D94" s="103" t="s">
        <v>71</v>
      </c>
      <c r="E94" s="124" t="s">
        <v>269</v>
      </c>
      <c r="F94" s="44" t="s">
        <v>420</v>
      </c>
      <c r="G94" s="44" t="s">
        <v>29</v>
      </c>
      <c r="H94" s="39">
        <v>4600002996</v>
      </c>
      <c r="I94" s="64">
        <v>4731644000100</v>
      </c>
      <c r="J94" s="85" t="s">
        <v>529</v>
      </c>
      <c r="K94" s="101" t="s">
        <v>326</v>
      </c>
      <c r="L94" s="40">
        <v>46083</v>
      </c>
      <c r="M94" s="49" t="s">
        <v>169</v>
      </c>
      <c r="N94" s="38" t="s">
        <v>73</v>
      </c>
      <c r="O94" s="37" t="s">
        <v>31</v>
      </c>
      <c r="P94" s="39" t="s">
        <v>294</v>
      </c>
      <c r="Q94" s="37" t="s">
        <v>29</v>
      </c>
      <c r="R94" s="43" t="s">
        <v>26</v>
      </c>
      <c r="S94" s="37" t="s">
        <v>29</v>
      </c>
      <c r="T94" s="40" t="s">
        <v>26</v>
      </c>
      <c r="U94" s="37" t="s">
        <v>31</v>
      </c>
      <c r="V94" s="43">
        <v>10</v>
      </c>
      <c r="W94" s="43">
        <v>30</v>
      </c>
      <c r="X94" s="37" t="s">
        <v>29</v>
      </c>
      <c r="Y94" s="39" t="s">
        <v>26</v>
      </c>
      <c r="Z94" s="44"/>
      <c r="AA94" s="39" t="s">
        <v>31</v>
      </c>
      <c r="AB94" s="118">
        <v>45658</v>
      </c>
    </row>
    <row r="95" spans="1:54" ht="30" hidden="1" x14ac:dyDescent="0.25">
      <c r="B95" s="82" t="s">
        <v>276</v>
      </c>
      <c r="C95" s="37" t="s">
        <v>70</v>
      </c>
      <c r="D95" s="103" t="s">
        <v>71</v>
      </c>
      <c r="E95" s="124" t="s">
        <v>269</v>
      </c>
      <c r="F95" s="44" t="s">
        <v>420</v>
      </c>
      <c r="G95" s="44" t="s">
        <v>29</v>
      </c>
      <c r="H95" s="39">
        <v>4600002997</v>
      </c>
      <c r="I95" s="64">
        <v>40973741000173</v>
      </c>
      <c r="J95" s="85" t="s">
        <v>478</v>
      </c>
      <c r="K95" s="101" t="s">
        <v>399</v>
      </c>
      <c r="L95" s="40">
        <v>46083</v>
      </c>
      <c r="M95" s="49" t="s">
        <v>178</v>
      </c>
      <c r="N95" s="38" t="s">
        <v>73</v>
      </c>
      <c r="O95" s="37" t="s">
        <v>31</v>
      </c>
      <c r="P95" s="39" t="s">
        <v>294</v>
      </c>
      <c r="Q95" s="37" t="s">
        <v>29</v>
      </c>
      <c r="R95" s="43" t="s">
        <v>26</v>
      </c>
      <c r="S95" s="37" t="s">
        <v>29</v>
      </c>
      <c r="T95" s="40" t="s">
        <v>26</v>
      </c>
      <c r="U95" s="37" t="s">
        <v>31</v>
      </c>
      <c r="V95" s="43">
        <v>10</v>
      </c>
      <c r="W95" s="43">
        <v>30</v>
      </c>
      <c r="X95" s="37" t="s">
        <v>29</v>
      </c>
      <c r="Y95" s="39" t="s">
        <v>26</v>
      </c>
      <c r="Z95" s="44"/>
      <c r="AA95" s="39" t="s">
        <v>31</v>
      </c>
      <c r="AB95" s="118">
        <v>45658</v>
      </c>
      <c r="AE95" s="69"/>
      <c r="AF95" s="69"/>
      <c r="AI95" s="69"/>
      <c r="AJ95" s="69"/>
      <c r="AN95" s="69"/>
      <c r="AO95" s="69"/>
      <c r="AP95" s="69"/>
    </row>
    <row r="96" spans="1:54" ht="30" hidden="1" x14ac:dyDescent="0.25">
      <c r="B96" s="82" t="s">
        <v>276</v>
      </c>
      <c r="C96" s="37" t="s">
        <v>70</v>
      </c>
      <c r="D96" s="103" t="s">
        <v>71</v>
      </c>
      <c r="E96" s="124" t="s">
        <v>269</v>
      </c>
      <c r="F96" s="44" t="s">
        <v>421</v>
      </c>
      <c r="G96" s="44" t="s">
        <v>29</v>
      </c>
      <c r="H96" s="39">
        <v>4600002956</v>
      </c>
      <c r="I96" s="64">
        <v>11379691000100</v>
      </c>
      <c r="J96" s="85" t="s">
        <v>475</v>
      </c>
      <c r="K96" s="101" t="s">
        <v>349</v>
      </c>
      <c r="L96" s="40">
        <v>46082</v>
      </c>
      <c r="M96" s="49" t="s">
        <v>72</v>
      </c>
      <c r="N96" s="38" t="s">
        <v>73</v>
      </c>
      <c r="O96" s="37" t="s">
        <v>31</v>
      </c>
      <c r="P96" s="39" t="s">
        <v>294</v>
      </c>
      <c r="Q96" s="37" t="s">
        <v>29</v>
      </c>
      <c r="R96" s="43" t="s">
        <v>26</v>
      </c>
      <c r="S96" s="37" t="s">
        <v>29</v>
      </c>
      <c r="T96" s="40" t="s">
        <v>26</v>
      </c>
      <c r="U96" s="37" t="s">
        <v>31</v>
      </c>
      <c r="V96" s="43">
        <v>10</v>
      </c>
      <c r="W96" s="43">
        <v>30</v>
      </c>
      <c r="X96" s="37" t="s">
        <v>29</v>
      </c>
      <c r="Y96" s="39" t="s">
        <v>26</v>
      </c>
      <c r="Z96" s="44"/>
      <c r="AA96" s="39" t="s">
        <v>31</v>
      </c>
      <c r="AB96" s="118">
        <v>45658</v>
      </c>
    </row>
    <row r="97" spans="1:54" s="17" customFormat="1" ht="30" hidden="1" x14ac:dyDescent="0.25">
      <c r="A97" s="1"/>
      <c r="B97" s="82" t="s">
        <v>276</v>
      </c>
      <c r="C97" s="37" t="s">
        <v>70</v>
      </c>
      <c r="D97" s="103" t="s">
        <v>71</v>
      </c>
      <c r="E97" s="124" t="s">
        <v>269</v>
      </c>
      <c r="F97" s="44" t="s">
        <v>420</v>
      </c>
      <c r="G97" s="44" t="s">
        <v>29</v>
      </c>
      <c r="H97" s="39">
        <v>4600003013</v>
      </c>
      <c r="I97" s="64">
        <v>51593093000146</v>
      </c>
      <c r="J97" s="85" t="s">
        <v>531</v>
      </c>
      <c r="K97" s="101" t="s">
        <v>402</v>
      </c>
      <c r="L97" s="40">
        <v>45972</v>
      </c>
      <c r="M97" s="45" t="s">
        <v>145</v>
      </c>
      <c r="N97" s="38" t="s">
        <v>66</v>
      </c>
      <c r="O97" s="37" t="s">
        <v>31</v>
      </c>
      <c r="P97" s="39" t="s">
        <v>294</v>
      </c>
      <c r="Q97" s="37" t="s">
        <v>29</v>
      </c>
      <c r="R97" s="43" t="s">
        <v>26</v>
      </c>
      <c r="S97" s="37" t="s">
        <v>29</v>
      </c>
      <c r="T97" s="40" t="s">
        <v>26</v>
      </c>
      <c r="U97" s="37" t="s">
        <v>31</v>
      </c>
      <c r="V97" s="43">
        <v>10.199999999999999</v>
      </c>
      <c r="W97" s="43">
        <v>30</v>
      </c>
      <c r="X97" s="37" t="s">
        <v>29</v>
      </c>
      <c r="Y97" s="39" t="s">
        <v>26</v>
      </c>
      <c r="Z97" s="44"/>
      <c r="AA97" s="39" t="s">
        <v>31</v>
      </c>
      <c r="AB97" s="118">
        <v>45658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s="17" customFormat="1" ht="30" hidden="1" x14ac:dyDescent="0.25">
      <c r="A98" s="1"/>
      <c r="B98" s="82" t="s">
        <v>276</v>
      </c>
      <c r="C98" s="37" t="s">
        <v>70</v>
      </c>
      <c r="D98" s="103" t="s">
        <v>71</v>
      </c>
      <c r="E98" s="124" t="s">
        <v>269</v>
      </c>
      <c r="F98" s="44" t="s">
        <v>420</v>
      </c>
      <c r="G98" s="44" t="s">
        <v>29</v>
      </c>
      <c r="H98" s="39">
        <v>4600002993</v>
      </c>
      <c r="I98" s="64">
        <v>51593093000146</v>
      </c>
      <c r="J98" s="85" t="s">
        <v>527</v>
      </c>
      <c r="K98" s="101" t="s">
        <v>402</v>
      </c>
      <c r="L98" s="40">
        <v>45894</v>
      </c>
      <c r="M98" s="45" t="s">
        <v>112</v>
      </c>
      <c r="N98" s="38" t="s">
        <v>28</v>
      </c>
      <c r="O98" s="37" t="s">
        <v>31</v>
      </c>
      <c r="P98" s="39" t="s">
        <v>294</v>
      </c>
      <c r="Q98" s="37" t="s">
        <v>29</v>
      </c>
      <c r="R98" s="43" t="s">
        <v>26</v>
      </c>
      <c r="S98" s="37" t="s">
        <v>29</v>
      </c>
      <c r="T98" s="40" t="s">
        <v>26</v>
      </c>
      <c r="U98" s="37" t="s">
        <v>31</v>
      </c>
      <c r="V98" s="43">
        <v>10.199999999999999</v>
      </c>
      <c r="W98" s="43">
        <v>30</v>
      </c>
      <c r="X98" s="37" t="s">
        <v>29</v>
      </c>
      <c r="Y98" s="39" t="s">
        <v>26</v>
      </c>
      <c r="Z98" s="44"/>
      <c r="AA98" s="39" t="s">
        <v>31</v>
      </c>
      <c r="AB98" s="118">
        <v>45658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30" hidden="1" x14ac:dyDescent="0.25">
      <c r="B99" s="82" t="s">
        <v>276</v>
      </c>
      <c r="C99" s="37" t="s">
        <v>70</v>
      </c>
      <c r="D99" s="103" t="s">
        <v>71</v>
      </c>
      <c r="E99" s="124" t="s">
        <v>269</v>
      </c>
      <c r="F99" s="44" t="s">
        <v>421</v>
      </c>
      <c r="G99" s="44" t="s">
        <v>29</v>
      </c>
      <c r="H99" s="39">
        <v>4600002957</v>
      </c>
      <c r="I99" s="64">
        <v>40117523000137</v>
      </c>
      <c r="J99" s="85" t="s">
        <v>475</v>
      </c>
      <c r="K99" s="101" t="s">
        <v>396</v>
      </c>
      <c r="L99" s="40">
        <v>46082</v>
      </c>
      <c r="M99" s="49" t="s">
        <v>72</v>
      </c>
      <c r="N99" s="38" t="s">
        <v>73</v>
      </c>
      <c r="O99" s="37" t="s">
        <v>31</v>
      </c>
      <c r="P99" s="39" t="s">
        <v>294</v>
      </c>
      <c r="Q99" s="37" t="s">
        <v>29</v>
      </c>
      <c r="R99" s="43" t="s">
        <v>26</v>
      </c>
      <c r="S99" s="37" t="s">
        <v>29</v>
      </c>
      <c r="T99" s="40" t="s">
        <v>26</v>
      </c>
      <c r="U99" s="37" t="s">
        <v>31</v>
      </c>
      <c r="V99" s="43">
        <v>10</v>
      </c>
      <c r="W99" s="43">
        <v>30</v>
      </c>
      <c r="X99" s="37" t="s">
        <v>29</v>
      </c>
      <c r="Y99" s="39" t="s">
        <v>26</v>
      </c>
      <c r="Z99" s="44"/>
      <c r="AA99" s="39" t="s">
        <v>31</v>
      </c>
      <c r="AB99" s="118">
        <v>45658</v>
      </c>
    </row>
    <row r="100" spans="1:54" ht="30" hidden="1" x14ac:dyDescent="0.25">
      <c r="B100" s="82" t="s">
        <v>276</v>
      </c>
      <c r="C100" s="37" t="s">
        <v>134</v>
      </c>
      <c r="D100" s="103" t="s">
        <v>135</v>
      </c>
      <c r="E100" s="123" t="s">
        <v>269</v>
      </c>
      <c r="F100" s="44" t="s">
        <v>586</v>
      </c>
      <c r="G100" s="44" t="s">
        <v>29</v>
      </c>
      <c r="H100" s="39">
        <v>4600003003</v>
      </c>
      <c r="I100" s="64">
        <v>35791391000437</v>
      </c>
      <c r="J100" s="85" t="s">
        <v>552</v>
      </c>
      <c r="K100" s="101" t="s">
        <v>393</v>
      </c>
      <c r="L100" s="40">
        <v>45932</v>
      </c>
      <c r="M100" s="41" t="s">
        <v>206</v>
      </c>
      <c r="N100" s="38" t="s">
        <v>66</v>
      </c>
      <c r="O100" s="37" t="s">
        <v>31</v>
      </c>
      <c r="P100" s="39" t="s">
        <v>294</v>
      </c>
      <c r="Q100" s="37" t="s">
        <v>29</v>
      </c>
      <c r="R100" s="43" t="s">
        <v>26</v>
      </c>
      <c r="S100" s="37" t="s">
        <v>29</v>
      </c>
      <c r="T100" s="40" t="s">
        <v>26</v>
      </c>
      <c r="U100" s="37" t="s">
        <v>31</v>
      </c>
      <c r="V100" s="43">
        <v>10.199999999999999</v>
      </c>
      <c r="W100" s="43">
        <v>30</v>
      </c>
      <c r="X100" s="37" t="s">
        <v>29</v>
      </c>
      <c r="Y100" s="39" t="s">
        <v>26</v>
      </c>
      <c r="Z100" s="44"/>
      <c r="AA100" s="39" t="s">
        <v>31</v>
      </c>
      <c r="AB100" s="118">
        <v>45658</v>
      </c>
    </row>
    <row r="101" spans="1:54" ht="28.5" customHeight="1" x14ac:dyDescent="0.25">
      <c r="B101" s="82" t="s">
        <v>276</v>
      </c>
      <c r="C101" s="37" t="s">
        <v>25</v>
      </c>
      <c r="D101" s="103" t="s">
        <v>439</v>
      </c>
      <c r="E101" s="124" t="s">
        <v>269</v>
      </c>
      <c r="F101" s="44" t="s">
        <v>579</v>
      </c>
      <c r="G101" s="39" t="s">
        <v>31</v>
      </c>
      <c r="H101" s="39" t="s">
        <v>587</v>
      </c>
      <c r="I101" s="85">
        <v>47866934000174</v>
      </c>
      <c r="J101" s="85" t="s">
        <v>513</v>
      </c>
      <c r="K101" s="116" t="s">
        <v>265</v>
      </c>
      <c r="L101" s="86">
        <v>46388</v>
      </c>
      <c r="M101" s="91" t="s">
        <v>264</v>
      </c>
      <c r="N101" s="38" t="s">
        <v>25</v>
      </c>
      <c r="O101" s="88" t="s">
        <v>29</v>
      </c>
      <c r="P101" s="77" t="s">
        <v>295</v>
      </c>
      <c r="Q101" s="88"/>
      <c r="R101" s="89"/>
      <c r="S101" s="88"/>
      <c r="T101" s="86"/>
      <c r="U101" s="88"/>
      <c r="V101" s="89"/>
      <c r="W101" s="89"/>
      <c r="X101" s="88"/>
      <c r="Y101" s="77"/>
      <c r="Z101" s="79" t="s">
        <v>548</v>
      </c>
      <c r="AA101" s="39" t="s">
        <v>31</v>
      </c>
      <c r="AB101" s="118">
        <v>45717</v>
      </c>
    </row>
    <row r="102" spans="1:54" ht="30" x14ac:dyDescent="0.25">
      <c r="B102" s="82" t="s">
        <v>276</v>
      </c>
      <c r="C102" s="37" t="s">
        <v>25</v>
      </c>
      <c r="D102" s="103" t="s">
        <v>439</v>
      </c>
      <c r="E102" s="124" t="s">
        <v>521</v>
      </c>
      <c r="F102" s="44" t="s">
        <v>448</v>
      </c>
      <c r="G102" s="39" t="s">
        <v>31</v>
      </c>
      <c r="H102" s="39" t="s">
        <v>587</v>
      </c>
      <c r="I102" s="64">
        <v>1685053000156</v>
      </c>
      <c r="J102" s="85" t="s">
        <v>508</v>
      </c>
      <c r="K102" s="115" t="s">
        <v>38</v>
      </c>
      <c r="L102" s="40">
        <v>46022</v>
      </c>
      <c r="M102" s="49" t="s">
        <v>27</v>
      </c>
      <c r="N102" s="37" t="s">
        <v>25</v>
      </c>
      <c r="O102" s="37"/>
      <c r="P102" s="39" t="s">
        <v>294</v>
      </c>
      <c r="Q102" s="37"/>
      <c r="R102" s="43"/>
      <c r="S102" s="37"/>
      <c r="T102" s="40"/>
      <c r="U102" s="37"/>
      <c r="V102" s="43"/>
      <c r="W102" s="43"/>
      <c r="X102" s="37"/>
      <c r="Y102" s="39"/>
      <c r="Z102" s="44" t="s">
        <v>548</v>
      </c>
      <c r="AA102" s="39" t="s">
        <v>31</v>
      </c>
      <c r="AB102" s="118">
        <v>45717</v>
      </c>
    </row>
    <row r="103" spans="1:54" ht="28.5" hidden="1" customHeight="1" x14ac:dyDescent="0.25">
      <c r="B103" s="82"/>
      <c r="C103" s="37" t="s">
        <v>63</v>
      </c>
      <c r="D103" s="103" t="s">
        <v>64</v>
      </c>
      <c r="E103" s="123" t="s">
        <v>521</v>
      </c>
      <c r="F103" s="44"/>
      <c r="G103" s="39" t="s">
        <v>29</v>
      </c>
      <c r="H103" s="39">
        <v>4600002705</v>
      </c>
      <c r="I103" s="72">
        <v>1482741962</v>
      </c>
      <c r="J103" s="85" t="s">
        <v>509</v>
      </c>
      <c r="K103" s="101" t="s">
        <v>304</v>
      </c>
      <c r="L103" s="40">
        <v>45777</v>
      </c>
      <c r="M103" s="45" t="s">
        <v>96</v>
      </c>
      <c r="N103" s="38" t="s">
        <v>76</v>
      </c>
      <c r="O103" s="37" t="s">
        <v>31</v>
      </c>
      <c r="P103" s="39" t="s">
        <v>294</v>
      </c>
      <c r="Q103" s="37" t="s">
        <v>31</v>
      </c>
      <c r="R103" s="43">
        <v>15.1</v>
      </c>
      <c r="S103" s="37" t="s">
        <v>31</v>
      </c>
      <c r="T103" s="40" t="s">
        <v>26</v>
      </c>
      <c r="U103" s="37" t="s">
        <v>31</v>
      </c>
      <c r="V103" s="43">
        <v>13.1</v>
      </c>
      <c r="W103" s="43">
        <v>60</v>
      </c>
      <c r="X103" s="37" t="s">
        <v>29</v>
      </c>
      <c r="Y103" s="39" t="s">
        <v>26</v>
      </c>
      <c r="Z103" s="44"/>
      <c r="AA103" s="39" t="s">
        <v>31</v>
      </c>
      <c r="AB103" s="118">
        <v>45658</v>
      </c>
    </row>
    <row r="104" spans="1:54" ht="45" hidden="1" x14ac:dyDescent="0.25">
      <c r="B104" s="82"/>
      <c r="C104" s="37" t="s">
        <v>63</v>
      </c>
      <c r="D104" s="103" t="s">
        <v>64</v>
      </c>
      <c r="E104" s="123" t="s">
        <v>521</v>
      </c>
      <c r="F104" s="44"/>
      <c r="G104" s="44" t="s">
        <v>29</v>
      </c>
      <c r="H104" s="39">
        <v>4600002989</v>
      </c>
      <c r="I104" s="64">
        <v>2041460000193</v>
      </c>
      <c r="J104" s="85" t="s">
        <v>509</v>
      </c>
      <c r="K104" s="101" t="s">
        <v>312</v>
      </c>
      <c r="L104" s="40">
        <v>46253</v>
      </c>
      <c r="M104" s="49" t="s">
        <v>196</v>
      </c>
      <c r="N104" s="38" t="s">
        <v>76</v>
      </c>
      <c r="O104" s="37" t="s">
        <v>29</v>
      </c>
      <c r="P104" s="39" t="s">
        <v>10</v>
      </c>
      <c r="Q104" s="37" t="s">
        <v>31</v>
      </c>
      <c r="R104" s="43">
        <v>11.1</v>
      </c>
      <c r="S104" s="37" t="s">
        <v>29</v>
      </c>
      <c r="T104" s="40" t="s">
        <v>26</v>
      </c>
      <c r="U104" s="37" t="s">
        <v>31</v>
      </c>
      <c r="V104" s="43">
        <v>10.1</v>
      </c>
      <c r="W104" s="43">
        <v>90</v>
      </c>
      <c r="X104" s="37" t="s">
        <v>31</v>
      </c>
      <c r="Y104" s="39" t="s">
        <v>197</v>
      </c>
      <c r="Z104" s="44" t="s">
        <v>198</v>
      </c>
      <c r="AA104" s="39" t="s">
        <v>31</v>
      </c>
      <c r="AB104" s="118">
        <v>45658</v>
      </c>
      <c r="AE104" s="69"/>
      <c r="AF104" s="69"/>
      <c r="AI104" s="69"/>
      <c r="AJ104" s="69"/>
      <c r="AN104" s="69"/>
      <c r="AO104" s="69"/>
      <c r="AP104" s="69"/>
    </row>
    <row r="105" spans="1:54" ht="30" hidden="1" x14ac:dyDescent="0.25">
      <c r="B105" s="82"/>
      <c r="C105" s="37" t="s">
        <v>63</v>
      </c>
      <c r="D105" s="103" t="s">
        <v>64</v>
      </c>
      <c r="E105" s="123" t="s">
        <v>521</v>
      </c>
      <c r="F105" s="44"/>
      <c r="G105" s="44" t="s">
        <v>29</v>
      </c>
      <c r="H105" s="39">
        <v>4600003002</v>
      </c>
      <c r="I105" s="64">
        <v>17895646000187</v>
      </c>
      <c r="J105" s="85" t="s">
        <v>552</v>
      </c>
      <c r="K105" s="101" t="s">
        <v>408</v>
      </c>
      <c r="L105" s="40">
        <v>46372</v>
      </c>
      <c r="M105" s="80" t="s">
        <v>115</v>
      </c>
      <c r="N105" s="38" t="s">
        <v>66</v>
      </c>
      <c r="O105" s="37" t="s">
        <v>29</v>
      </c>
      <c r="P105" s="39" t="s">
        <v>10</v>
      </c>
      <c r="Q105" s="37" t="s">
        <v>31</v>
      </c>
      <c r="R105" s="43">
        <v>13.6</v>
      </c>
      <c r="S105" s="37" t="s">
        <v>31</v>
      </c>
      <c r="T105" s="40" t="s">
        <v>26</v>
      </c>
      <c r="U105" s="37" t="s">
        <v>31</v>
      </c>
      <c r="V105" s="43">
        <v>4</v>
      </c>
      <c r="W105" s="43">
        <v>30</v>
      </c>
      <c r="X105" s="37" t="s">
        <v>29</v>
      </c>
      <c r="Y105" s="39" t="s">
        <v>26</v>
      </c>
      <c r="Z105" s="44" t="s">
        <v>116</v>
      </c>
      <c r="AA105" s="39" t="s">
        <v>31</v>
      </c>
      <c r="AB105" s="118">
        <v>45658</v>
      </c>
      <c r="AC105" s="19"/>
      <c r="AD105" s="22"/>
      <c r="AE105" s="66"/>
      <c r="AF105" s="66"/>
      <c r="AG105" s="3"/>
      <c r="AH105" s="16"/>
      <c r="AI105" s="65"/>
      <c r="AJ105" s="66"/>
      <c r="AK105" s="3"/>
      <c r="AL105" s="3"/>
      <c r="AM105" s="16"/>
      <c r="AN105" s="65"/>
      <c r="AO105" s="69"/>
      <c r="AP105" s="65"/>
    </row>
    <row r="106" spans="1:54" ht="90" x14ac:dyDescent="0.25">
      <c r="B106" s="82"/>
      <c r="C106" s="37" t="s">
        <v>63</v>
      </c>
      <c r="D106" s="103" t="s">
        <v>64</v>
      </c>
      <c r="E106" s="123" t="s">
        <v>521</v>
      </c>
      <c r="F106" s="44"/>
      <c r="G106" s="39" t="s">
        <v>31</v>
      </c>
      <c r="H106" s="84">
        <v>4600002897</v>
      </c>
      <c r="I106" s="85">
        <v>72145931000199</v>
      </c>
      <c r="J106" s="85" t="s">
        <v>510</v>
      </c>
      <c r="K106" s="116" t="s">
        <v>302</v>
      </c>
      <c r="L106" s="86">
        <v>45990</v>
      </c>
      <c r="M106" s="90" t="s">
        <v>200</v>
      </c>
      <c r="N106" s="38" t="s">
        <v>66</v>
      </c>
      <c r="O106" s="88" t="s">
        <v>29</v>
      </c>
      <c r="P106" s="77" t="s">
        <v>295</v>
      </c>
      <c r="Q106" s="88" t="s">
        <v>29</v>
      </c>
      <c r="R106" s="89" t="s">
        <v>26</v>
      </c>
      <c r="S106" s="88" t="s">
        <v>29</v>
      </c>
      <c r="T106" s="86" t="s">
        <v>26</v>
      </c>
      <c r="U106" s="88" t="s">
        <v>31</v>
      </c>
      <c r="V106" s="89" t="s">
        <v>201</v>
      </c>
      <c r="W106" s="89" t="s">
        <v>26</v>
      </c>
      <c r="X106" s="88" t="s">
        <v>31</v>
      </c>
      <c r="Y106" s="77" t="s">
        <v>32</v>
      </c>
      <c r="Z106" s="79" t="s">
        <v>202</v>
      </c>
      <c r="AA106" s="77" t="s">
        <v>31</v>
      </c>
      <c r="AB106" s="118">
        <v>45658</v>
      </c>
    </row>
    <row r="107" spans="1:54" ht="30" hidden="1" x14ac:dyDescent="0.25">
      <c r="B107" s="82"/>
      <c r="C107" s="37" t="s">
        <v>63</v>
      </c>
      <c r="D107" s="103" t="s">
        <v>64</v>
      </c>
      <c r="E107" s="123" t="s">
        <v>521</v>
      </c>
      <c r="F107" s="44"/>
      <c r="G107" s="44" t="s">
        <v>29</v>
      </c>
      <c r="H107" s="39">
        <v>4600003000</v>
      </c>
      <c r="I107" s="64">
        <v>5104854000131</v>
      </c>
      <c r="J107" s="85" t="s">
        <v>509</v>
      </c>
      <c r="K107" s="101" t="s">
        <v>328</v>
      </c>
      <c r="L107" s="40">
        <v>46645</v>
      </c>
      <c r="M107" s="56" t="s">
        <v>196</v>
      </c>
      <c r="N107" s="38" t="s">
        <v>76</v>
      </c>
      <c r="O107" s="37" t="s">
        <v>29</v>
      </c>
      <c r="P107" s="39" t="s">
        <v>10</v>
      </c>
      <c r="Q107" s="37" t="s">
        <v>31</v>
      </c>
      <c r="R107" s="43">
        <v>9</v>
      </c>
      <c r="S107" s="37" t="s">
        <v>31</v>
      </c>
      <c r="T107" s="40" t="s">
        <v>26</v>
      </c>
      <c r="U107" s="37" t="s">
        <v>31</v>
      </c>
      <c r="V107" s="43">
        <v>6</v>
      </c>
      <c r="W107" s="43">
        <v>60</v>
      </c>
      <c r="X107" s="37" t="s">
        <v>31</v>
      </c>
      <c r="Y107" s="39" t="s">
        <v>32</v>
      </c>
      <c r="Z107" s="44" t="s">
        <v>121</v>
      </c>
      <c r="AA107" s="39" t="s">
        <v>31</v>
      </c>
      <c r="AB107" s="118">
        <v>45658</v>
      </c>
    </row>
    <row r="108" spans="1:54" hidden="1" x14ac:dyDescent="0.25">
      <c r="B108" s="82"/>
      <c r="C108" s="37" t="s">
        <v>63</v>
      </c>
      <c r="D108" s="103" t="s">
        <v>64</v>
      </c>
      <c r="E108" s="123" t="s">
        <v>521</v>
      </c>
      <c r="F108" s="44"/>
      <c r="G108" s="44" t="s">
        <v>29</v>
      </c>
      <c r="H108" s="84">
        <v>4600002757</v>
      </c>
      <c r="I108" s="85">
        <v>76535764000143</v>
      </c>
      <c r="J108" s="85" t="s">
        <v>509</v>
      </c>
      <c r="K108" s="116" t="s">
        <v>300</v>
      </c>
      <c r="L108" s="86">
        <v>46326</v>
      </c>
      <c r="M108" s="87" t="s">
        <v>86</v>
      </c>
      <c r="N108" s="38" t="s">
        <v>76</v>
      </c>
      <c r="O108" s="88" t="s">
        <v>29</v>
      </c>
      <c r="P108" s="77" t="s">
        <v>295</v>
      </c>
      <c r="Q108" s="88"/>
      <c r="R108" s="89"/>
      <c r="S108" s="88"/>
      <c r="T108" s="86"/>
      <c r="U108" s="88"/>
      <c r="V108" s="89"/>
      <c r="W108" s="89"/>
      <c r="X108" s="88"/>
      <c r="Y108" s="77"/>
      <c r="Z108" s="79"/>
      <c r="AA108" s="77" t="s">
        <v>31</v>
      </c>
      <c r="AB108" s="118">
        <v>45658</v>
      </c>
    </row>
    <row r="109" spans="1:54" hidden="1" x14ac:dyDescent="0.25">
      <c r="B109" s="82"/>
      <c r="C109" s="37" t="s">
        <v>63</v>
      </c>
      <c r="D109" s="103" t="s">
        <v>64</v>
      </c>
      <c r="E109" s="123" t="s">
        <v>521</v>
      </c>
      <c r="F109" s="44"/>
      <c r="G109" s="44" t="s">
        <v>29</v>
      </c>
      <c r="H109" s="84">
        <v>4600002758</v>
      </c>
      <c r="I109" s="85">
        <v>76535764000143</v>
      </c>
      <c r="J109" s="85" t="s">
        <v>509</v>
      </c>
      <c r="K109" s="116" t="s">
        <v>300</v>
      </c>
      <c r="L109" s="86">
        <v>46326</v>
      </c>
      <c r="M109" s="87" t="s">
        <v>519</v>
      </c>
      <c r="N109" s="38" t="s">
        <v>76</v>
      </c>
      <c r="O109" s="88" t="s">
        <v>29</v>
      </c>
      <c r="P109" s="77" t="s">
        <v>295</v>
      </c>
      <c r="Q109" s="88" t="s">
        <v>29</v>
      </c>
      <c r="R109" s="89" t="s">
        <v>26</v>
      </c>
      <c r="S109" s="88" t="s">
        <v>29</v>
      </c>
      <c r="T109" s="86" t="s">
        <v>26</v>
      </c>
      <c r="U109" s="88" t="s">
        <v>31</v>
      </c>
      <c r="V109" s="89">
        <v>12.9</v>
      </c>
      <c r="W109" s="89">
        <v>90</v>
      </c>
      <c r="X109" s="88" t="s">
        <v>29</v>
      </c>
      <c r="Y109" s="77" t="s">
        <v>85</v>
      </c>
      <c r="Z109" s="79"/>
      <c r="AA109" s="77" t="s">
        <v>31</v>
      </c>
      <c r="AB109" s="118">
        <v>45658</v>
      </c>
    </row>
    <row r="110" spans="1:54" s="17" customFormat="1" hidden="1" x14ac:dyDescent="0.25">
      <c r="A110" s="1"/>
      <c r="B110" s="82"/>
      <c r="C110" s="37" t="s">
        <v>63</v>
      </c>
      <c r="D110" s="103" t="s">
        <v>64</v>
      </c>
      <c r="E110" s="123" t="s">
        <v>521</v>
      </c>
      <c r="F110" s="44"/>
      <c r="G110" s="44" t="s">
        <v>29</v>
      </c>
      <c r="H110" s="84">
        <v>4600002759</v>
      </c>
      <c r="I110" s="85">
        <v>76535764000143</v>
      </c>
      <c r="J110" s="85" t="s">
        <v>509</v>
      </c>
      <c r="K110" s="116" t="s">
        <v>300</v>
      </c>
      <c r="L110" s="86">
        <v>45962</v>
      </c>
      <c r="M110" s="91" t="s">
        <v>86</v>
      </c>
      <c r="N110" s="38" t="s">
        <v>76</v>
      </c>
      <c r="O110" s="88" t="s">
        <v>29</v>
      </c>
      <c r="P110" s="77" t="s">
        <v>295</v>
      </c>
      <c r="Q110" s="88" t="s">
        <v>29</v>
      </c>
      <c r="R110" s="89" t="s">
        <v>26</v>
      </c>
      <c r="S110" s="88" t="s">
        <v>29</v>
      </c>
      <c r="T110" s="86" t="s">
        <v>26</v>
      </c>
      <c r="U110" s="88" t="s">
        <v>143</v>
      </c>
      <c r="V110" s="89">
        <v>4.0999999999999996</v>
      </c>
      <c r="W110" s="89">
        <v>30</v>
      </c>
      <c r="X110" s="88" t="s">
        <v>29</v>
      </c>
      <c r="Y110" s="77" t="s">
        <v>85</v>
      </c>
      <c r="Z110" s="79"/>
      <c r="AA110" s="77" t="s">
        <v>31</v>
      </c>
      <c r="AB110" s="118">
        <v>45658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idden="1" x14ac:dyDescent="0.25">
      <c r="B111" s="82"/>
      <c r="C111" s="37" t="s">
        <v>63</v>
      </c>
      <c r="D111" s="103" t="s">
        <v>64</v>
      </c>
      <c r="E111" s="123" t="s">
        <v>521</v>
      </c>
      <c r="F111" s="44"/>
      <c r="G111" s="44" t="s">
        <v>29</v>
      </c>
      <c r="H111" s="84">
        <v>4600002760</v>
      </c>
      <c r="I111" s="85">
        <v>76535764000143</v>
      </c>
      <c r="J111" s="85" t="s">
        <v>509</v>
      </c>
      <c r="K111" s="116" t="s">
        <v>300</v>
      </c>
      <c r="L111" s="86">
        <v>45930</v>
      </c>
      <c r="M111" s="91" t="s">
        <v>86</v>
      </c>
      <c r="N111" s="38" t="s">
        <v>76</v>
      </c>
      <c r="O111" s="88" t="s">
        <v>29</v>
      </c>
      <c r="P111" s="77" t="s">
        <v>295</v>
      </c>
      <c r="Q111" s="88" t="s">
        <v>29</v>
      </c>
      <c r="R111" s="89" t="s">
        <v>26</v>
      </c>
      <c r="S111" s="88" t="s">
        <v>29</v>
      </c>
      <c r="T111" s="86" t="s">
        <v>26</v>
      </c>
      <c r="U111" s="88" t="s">
        <v>31</v>
      </c>
      <c r="V111" s="89">
        <v>12.9</v>
      </c>
      <c r="W111" s="89">
        <v>90</v>
      </c>
      <c r="X111" s="88" t="s">
        <v>29</v>
      </c>
      <c r="Y111" s="77" t="s">
        <v>85</v>
      </c>
      <c r="Z111" s="79"/>
      <c r="AA111" s="77" t="s">
        <v>31</v>
      </c>
      <c r="AB111" s="118">
        <v>45658</v>
      </c>
    </row>
    <row r="112" spans="1:54" ht="30" hidden="1" x14ac:dyDescent="0.25">
      <c r="B112" s="82"/>
      <c r="C112" s="37" t="s">
        <v>63</v>
      </c>
      <c r="D112" s="103" t="s">
        <v>64</v>
      </c>
      <c r="E112" s="123" t="s">
        <v>521</v>
      </c>
      <c r="F112" s="44"/>
      <c r="G112" s="44" t="s">
        <v>29</v>
      </c>
      <c r="H112" s="39">
        <v>4600002779</v>
      </c>
      <c r="I112" s="64">
        <v>18697838000141</v>
      </c>
      <c r="J112" s="85" t="s">
        <v>509</v>
      </c>
      <c r="K112" s="101" t="s">
        <v>409</v>
      </c>
      <c r="L112" s="40">
        <v>46142</v>
      </c>
      <c r="M112" s="49" t="s">
        <v>137</v>
      </c>
      <c r="N112" s="38" t="s">
        <v>76</v>
      </c>
      <c r="O112" s="37" t="s">
        <v>31</v>
      </c>
      <c r="P112" s="39" t="s">
        <v>294</v>
      </c>
      <c r="Q112" s="37" t="s">
        <v>31</v>
      </c>
      <c r="R112" s="43">
        <v>16.100000000000001</v>
      </c>
      <c r="S112" s="37" t="s">
        <v>31</v>
      </c>
      <c r="T112" s="40" t="s">
        <v>26</v>
      </c>
      <c r="U112" s="37" t="s">
        <v>31</v>
      </c>
      <c r="V112" s="43">
        <v>14.1</v>
      </c>
      <c r="W112" s="43">
        <v>30</v>
      </c>
      <c r="X112" s="37" t="s">
        <v>29</v>
      </c>
      <c r="Y112" s="39" t="s">
        <v>32</v>
      </c>
      <c r="Z112" s="44" t="s">
        <v>125</v>
      </c>
      <c r="AA112" s="39" t="s">
        <v>31</v>
      </c>
      <c r="AB112" s="118">
        <v>45658</v>
      </c>
    </row>
    <row r="113" spans="1:54" s="17" customFormat="1" hidden="1" x14ac:dyDescent="0.25">
      <c r="A113" s="1"/>
      <c r="B113" s="82"/>
      <c r="C113" s="37" t="s">
        <v>63</v>
      </c>
      <c r="D113" s="103" t="s">
        <v>64</v>
      </c>
      <c r="E113" s="123" t="s">
        <v>521</v>
      </c>
      <c r="F113" s="44"/>
      <c r="G113" s="44" t="s">
        <v>29</v>
      </c>
      <c r="H113" s="39">
        <v>4600002906</v>
      </c>
      <c r="I113" s="64">
        <v>19169675000197</v>
      </c>
      <c r="J113" s="85" t="s">
        <v>509</v>
      </c>
      <c r="K113" s="101" t="s">
        <v>410</v>
      </c>
      <c r="L113" s="40">
        <v>45991</v>
      </c>
      <c r="M113" s="49" t="s">
        <v>149</v>
      </c>
      <c r="N113" s="38" t="s">
        <v>76</v>
      </c>
      <c r="O113" s="37" t="s">
        <v>31</v>
      </c>
      <c r="P113" s="39" t="s">
        <v>294</v>
      </c>
      <c r="Q113" s="37" t="s">
        <v>31</v>
      </c>
      <c r="R113" s="43">
        <v>17.100000000000001</v>
      </c>
      <c r="S113" s="37" t="s">
        <v>31</v>
      </c>
      <c r="T113" s="40" t="s">
        <v>26</v>
      </c>
      <c r="U113" s="37" t="s">
        <v>31</v>
      </c>
      <c r="V113" s="43" t="s">
        <v>150</v>
      </c>
      <c r="W113" s="43">
        <v>60</v>
      </c>
      <c r="X113" s="37" t="s">
        <v>31</v>
      </c>
      <c r="Y113" s="39" t="s">
        <v>32</v>
      </c>
      <c r="Z113" s="44" t="s">
        <v>125</v>
      </c>
      <c r="AA113" s="39" t="s">
        <v>31</v>
      </c>
      <c r="AB113" s="118">
        <v>45658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idden="1" x14ac:dyDescent="0.25">
      <c r="B114" s="82"/>
      <c r="C114" s="37" t="s">
        <v>63</v>
      </c>
      <c r="D114" s="103" t="s">
        <v>64</v>
      </c>
      <c r="E114" s="123" t="s">
        <v>521</v>
      </c>
      <c r="F114" s="44"/>
      <c r="G114" s="44" t="s">
        <v>29</v>
      </c>
      <c r="H114" s="39">
        <v>4600002703</v>
      </c>
      <c r="I114" s="72">
        <v>1997430967</v>
      </c>
      <c r="J114" s="85" t="s">
        <v>509</v>
      </c>
      <c r="K114" s="101" t="s">
        <v>305</v>
      </c>
      <c r="L114" s="40">
        <v>45777</v>
      </c>
      <c r="M114" s="45" t="s">
        <v>96</v>
      </c>
      <c r="N114" s="38" t="s">
        <v>76</v>
      </c>
      <c r="O114" s="37" t="s">
        <v>31</v>
      </c>
      <c r="P114" s="39" t="s">
        <v>294</v>
      </c>
      <c r="Q114" s="37" t="s">
        <v>31</v>
      </c>
      <c r="R114" s="43">
        <v>15.1</v>
      </c>
      <c r="S114" s="37" t="s">
        <v>31</v>
      </c>
      <c r="T114" s="40" t="s">
        <v>26</v>
      </c>
      <c r="U114" s="37" t="s">
        <v>31</v>
      </c>
      <c r="V114" s="43">
        <v>13.1</v>
      </c>
      <c r="W114" s="43">
        <v>60</v>
      </c>
      <c r="X114" s="37" t="s">
        <v>29</v>
      </c>
      <c r="Y114" s="39" t="s">
        <v>26</v>
      </c>
      <c r="Z114" s="44"/>
      <c r="AA114" s="39" t="s">
        <v>31</v>
      </c>
      <c r="AB114" s="118">
        <v>45658</v>
      </c>
    </row>
    <row r="115" spans="1:54" hidden="1" x14ac:dyDescent="0.25">
      <c r="B115" s="82"/>
      <c r="C115" s="37" t="s">
        <v>63</v>
      </c>
      <c r="D115" s="103" t="s">
        <v>64</v>
      </c>
      <c r="E115" s="123" t="s">
        <v>521</v>
      </c>
      <c r="F115" s="44"/>
      <c r="G115" s="44" t="s">
        <v>29</v>
      </c>
      <c r="H115" s="39">
        <v>4600000244</v>
      </c>
      <c r="I115" s="64">
        <v>7880662000142</v>
      </c>
      <c r="J115" s="85" t="s">
        <v>509</v>
      </c>
      <c r="K115" s="101" t="s">
        <v>342</v>
      </c>
      <c r="L115" s="40">
        <v>45900</v>
      </c>
      <c r="M115" s="45" t="s">
        <v>96</v>
      </c>
      <c r="N115" s="38" t="s">
        <v>76</v>
      </c>
      <c r="O115" s="37" t="s">
        <v>31</v>
      </c>
      <c r="P115" s="39" t="s">
        <v>294</v>
      </c>
      <c r="Q115" s="37" t="s">
        <v>31</v>
      </c>
      <c r="R115" s="43">
        <v>17.100000000000001</v>
      </c>
      <c r="S115" s="37" t="s">
        <v>31</v>
      </c>
      <c r="T115" s="40" t="s">
        <v>26</v>
      </c>
      <c r="U115" s="37" t="s">
        <v>31</v>
      </c>
      <c r="V115" s="43">
        <v>15.1</v>
      </c>
      <c r="W115" s="43">
        <v>30</v>
      </c>
      <c r="X115" s="37" t="s">
        <v>29</v>
      </c>
      <c r="Y115" s="39" t="s">
        <v>26</v>
      </c>
      <c r="Z115" s="44"/>
      <c r="AA115" s="39" t="s">
        <v>31</v>
      </c>
      <c r="AB115" s="118">
        <v>45658</v>
      </c>
    </row>
    <row r="116" spans="1:54" ht="30" hidden="1" x14ac:dyDescent="0.25">
      <c r="B116" s="82"/>
      <c r="C116" s="37" t="s">
        <v>63</v>
      </c>
      <c r="D116" s="103" t="s">
        <v>64</v>
      </c>
      <c r="E116" s="123" t="s">
        <v>521</v>
      </c>
      <c r="F116" s="44"/>
      <c r="G116" s="44" t="s">
        <v>29</v>
      </c>
      <c r="H116" s="39">
        <v>4600002696</v>
      </c>
      <c r="I116" s="72">
        <v>94729255453</v>
      </c>
      <c r="J116" s="85" t="s">
        <v>509</v>
      </c>
      <c r="K116" s="101" t="s">
        <v>310</v>
      </c>
      <c r="L116" s="40">
        <v>46235</v>
      </c>
      <c r="M116" s="49" t="s">
        <v>158</v>
      </c>
      <c r="N116" s="38" t="s">
        <v>76</v>
      </c>
      <c r="O116" s="37" t="s">
        <v>31</v>
      </c>
      <c r="P116" s="39" t="s">
        <v>294</v>
      </c>
      <c r="Q116" s="37" t="s">
        <v>31</v>
      </c>
      <c r="R116" s="43">
        <v>16.100000000000001</v>
      </c>
      <c r="S116" s="37" t="s">
        <v>31</v>
      </c>
      <c r="T116" s="40" t="s">
        <v>26</v>
      </c>
      <c r="U116" s="37" t="s">
        <v>31</v>
      </c>
      <c r="V116" s="43">
        <v>14.1</v>
      </c>
      <c r="W116" s="43">
        <v>30</v>
      </c>
      <c r="X116" s="37" t="s">
        <v>29</v>
      </c>
      <c r="Y116" s="39" t="s">
        <v>32</v>
      </c>
      <c r="Z116" s="44" t="s">
        <v>125</v>
      </c>
      <c r="AA116" s="39" t="s">
        <v>31</v>
      </c>
      <c r="AB116" s="118">
        <v>45658</v>
      </c>
    </row>
    <row r="117" spans="1:54" ht="30" hidden="1" x14ac:dyDescent="0.25">
      <c r="B117" s="82"/>
      <c r="C117" s="37" t="s">
        <v>63</v>
      </c>
      <c r="D117" s="103" t="s">
        <v>64</v>
      </c>
      <c r="E117" s="123" t="s">
        <v>521</v>
      </c>
      <c r="F117" s="44"/>
      <c r="G117" s="44" t="s">
        <v>29</v>
      </c>
      <c r="H117" s="39">
        <v>4600002929</v>
      </c>
      <c r="I117" s="72">
        <v>14123754015</v>
      </c>
      <c r="J117" s="85" t="s">
        <v>552</v>
      </c>
      <c r="K117" s="101" t="s">
        <v>308</v>
      </c>
      <c r="L117" s="40">
        <v>46234</v>
      </c>
      <c r="M117" s="49" t="s">
        <v>127</v>
      </c>
      <c r="N117" s="38" t="s">
        <v>76</v>
      </c>
      <c r="O117" s="37" t="s">
        <v>31</v>
      </c>
      <c r="P117" s="39" t="s">
        <v>294</v>
      </c>
      <c r="Q117" s="37" t="s">
        <v>31</v>
      </c>
      <c r="R117" s="43">
        <v>16.100000000000001</v>
      </c>
      <c r="S117" s="37" t="s">
        <v>31</v>
      </c>
      <c r="T117" s="40" t="s">
        <v>26</v>
      </c>
      <c r="U117" s="37" t="s">
        <v>31</v>
      </c>
      <c r="V117" s="43" t="s">
        <v>163</v>
      </c>
      <c r="W117" s="43">
        <v>30</v>
      </c>
      <c r="X117" s="37" t="s">
        <v>31</v>
      </c>
      <c r="Y117" s="39" t="s">
        <v>32</v>
      </c>
      <c r="Z117" s="44" t="s">
        <v>121</v>
      </c>
      <c r="AA117" s="39" t="s">
        <v>31</v>
      </c>
      <c r="AB117" s="118">
        <v>45658</v>
      </c>
    </row>
    <row r="118" spans="1:54" hidden="1" x14ac:dyDescent="0.25">
      <c r="B118" s="82"/>
      <c r="C118" s="37" t="s">
        <v>63</v>
      </c>
      <c r="D118" s="103" t="s">
        <v>64</v>
      </c>
      <c r="E118" s="123" t="s">
        <v>521</v>
      </c>
      <c r="F118" s="44"/>
      <c r="G118" s="44" t="s">
        <v>29</v>
      </c>
      <c r="H118" s="39">
        <v>4600002774</v>
      </c>
      <c r="I118" s="72">
        <v>7864795315</v>
      </c>
      <c r="J118" s="85" t="s">
        <v>509</v>
      </c>
      <c r="K118" s="101" t="s">
        <v>307</v>
      </c>
      <c r="L118" s="40">
        <v>46269</v>
      </c>
      <c r="M118" s="49" t="s">
        <v>124</v>
      </c>
      <c r="N118" s="38" t="s">
        <v>76</v>
      </c>
      <c r="O118" s="37" t="s">
        <v>31</v>
      </c>
      <c r="P118" s="39" t="s">
        <v>294</v>
      </c>
      <c r="Q118" s="37" t="s">
        <v>31</v>
      </c>
      <c r="R118" s="43">
        <v>16.100000000000001</v>
      </c>
      <c r="S118" s="37" t="s">
        <v>31</v>
      </c>
      <c r="T118" s="40" t="s">
        <v>26</v>
      </c>
      <c r="U118" s="37" t="s">
        <v>31</v>
      </c>
      <c r="V118" s="43">
        <v>14.1</v>
      </c>
      <c r="W118" s="43">
        <v>60</v>
      </c>
      <c r="X118" s="37" t="s">
        <v>29</v>
      </c>
      <c r="Y118" s="39" t="s">
        <v>32</v>
      </c>
      <c r="Z118" s="44" t="s">
        <v>125</v>
      </c>
      <c r="AA118" s="39" t="s">
        <v>31</v>
      </c>
      <c r="AB118" s="118">
        <v>45658</v>
      </c>
      <c r="AE118" s="69"/>
      <c r="AF118" s="69"/>
      <c r="AI118" s="69"/>
      <c r="AJ118" s="69"/>
      <c r="AN118" s="69"/>
      <c r="AO118" s="69"/>
      <c r="AP118" s="69"/>
    </row>
    <row r="119" spans="1:54" hidden="1" x14ac:dyDescent="0.25">
      <c r="B119" s="82"/>
      <c r="C119" s="37" t="s">
        <v>63</v>
      </c>
      <c r="D119" s="103" t="s">
        <v>64</v>
      </c>
      <c r="E119" s="123" t="s">
        <v>521</v>
      </c>
      <c r="F119" s="44"/>
      <c r="G119" s="44" t="s">
        <v>29</v>
      </c>
      <c r="H119" s="39">
        <v>4600002886</v>
      </c>
      <c r="I119" s="64">
        <v>11811943000110</v>
      </c>
      <c r="J119" s="85" t="s">
        <v>509</v>
      </c>
      <c r="K119" s="101" t="s">
        <v>350</v>
      </c>
      <c r="L119" s="40">
        <v>46106</v>
      </c>
      <c r="M119" s="49" t="s">
        <v>204</v>
      </c>
      <c r="N119" s="38" t="s">
        <v>76</v>
      </c>
      <c r="O119" s="37" t="s">
        <v>31</v>
      </c>
      <c r="P119" s="39" t="s">
        <v>294</v>
      </c>
      <c r="Q119" s="37" t="s">
        <v>29</v>
      </c>
      <c r="R119" s="43" t="s">
        <v>26</v>
      </c>
      <c r="S119" s="37" t="s">
        <v>29</v>
      </c>
      <c r="T119" s="40" t="s">
        <v>26</v>
      </c>
      <c r="U119" s="37" t="s">
        <v>31</v>
      </c>
      <c r="V119" s="43">
        <v>14.1</v>
      </c>
      <c r="W119" s="43">
        <v>30</v>
      </c>
      <c r="X119" s="37" t="s">
        <v>29</v>
      </c>
      <c r="Y119" s="39" t="s">
        <v>32</v>
      </c>
      <c r="Z119" s="44" t="s">
        <v>205</v>
      </c>
      <c r="AA119" s="39" t="s">
        <v>31</v>
      </c>
      <c r="AB119" s="118">
        <v>45658</v>
      </c>
      <c r="AE119" s="69"/>
      <c r="AF119" s="69"/>
      <c r="AI119" s="69"/>
      <c r="AJ119" s="69"/>
      <c r="AN119" s="69"/>
      <c r="AO119" s="69"/>
      <c r="AP119" s="69"/>
    </row>
    <row r="120" spans="1:54" hidden="1" x14ac:dyDescent="0.25">
      <c r="B120" s="82"/>
      <c r="C120" s="37" t="s">
        <v>63</v>
      </c>
      <c r="D120" s="103" t="s">
        <v>64</v>
      </c>
      <c r="E120" s="123" t="s">
        <v>521</v>
      </c>
      <c r="F120" s="44"/>
      <c r="G120" s="44" t="s">
        <v>29</v>
      </c>
      <c r="H120" s="39">
        <v>4600002959</v>
      </c>
      <c r="I120" s="64">
        <v>31534848000124</v>
      </c>
      <c r="J120" s="85" t="s">
        <v>510</v>
      </c>
      <c r="K120" s="101" t="s">
        <v>384</v>
      </c>
      <c r="L120" s="40">
        <v>45985</v>
      </c>
      <c r="M120" s="41" t="s">
        <v>144</v>
      </c>
      <c r="N120" s="38" t="s">
        <v>66</v>
      </c>
      <c r="O120" s="37" t="s">
        <v>29</v>
      </c>
      <c r="P120" s="39" t="s">
        <v>10</v>
      </c>
      <c r="Q120" s="37" t="s">
        <v>29</v>
      </c>
      <c r="R120" s="43" t="s">
        <v>26</v>
      </c>
      <c r="S120" s="37" t="s">
        <v>29</v>
      </c>
      <c r="T120" s="40" t="s">
        <v>26</v>
      </c>
      <c r="U120" s="37" t="s">
        <v>31</v>
      </c>
      <c r="V120" s="43">
        <v>25.1</v>
      </c>
      <c r="W120" s="43">
        <v>30</v>
      </c>
      <c r="X120" s="37" t="s">
        <v>29</v>
      </c>
      <c r="Y120" s="39" t="s">
        <v>26</v>
      </c>
      <c r="Z120" s="44"/>
      <c r="AA120" s="39" t="s">
        <v>31</v>
      </c>
      <c r="AB120" s="118">
        <v>45658</v>
      </c>
    </row>
    <row r="121" spans="1:54" hidden="1" x14ac:dyDescent="0.25">
      <c r="B121" s="82"/>
      <c r="C121" s="37" t="s">
        <v>63</v>
      </c>
      <c r="D121" s="103" t="s">
        <v>64</v>
      </c>
      <c r="E121" s="123" t="s">
        <v>521</v>
      </c>
      <c r="F121" s="44"/>
      <c r="G121" s="44" t="s">
        <v>29</v>
      </c>
      <c r="H121" s="39">
        <v>4600002955</v>
      </c>
      <c r="I121" s="64">
        <v>38594568000150</v>
      </c>
      <c r="J121" s="85" t="s">
        <v>475</v>
      </c>
      <c r="K121" s="101" t="s">
        <v>394</v>
      </c>
      <c r="L121" s="40">
        <v>46112</v>
      </c>
      <c r="M121" s="49" t="s">
        <v>256</v>
      </c>
      <c r="N121" s="38" t="s">
        <v>66</v>
      </c>
      <c r="O121" s="37" t="s">
        <v>31</v>
      </c>
      <c r="P121" s="39" t="s">
        <v>294</v>
      </c>
      <c r="Q121" s="37" t="s">
        <v>29</v>
      </c>
      <c r="R121" s="43" t="s">
        <v>26</v>
      </c>
      <c r="S121" s="37" t="s">
        <v>29</v>
      </c>
      <c r="T121" s="40" t="s">
        <v>26</v>
      </c>
      <c r="U121" s="37" t="s">
        <v>31</v>
      </c>
      <c r="V121" s="43">
        <v>9.1999999999999993</v>
      </c>
      <c r="W121" s="43">
        <v>30</v>
      </c>
      <c r="X121" s="37" t="s">
        <v>29</v>
      </c>
      <c r="Y121" s="39" t="s">
        <v>26</v>
      </c>
      <c r="Z121" s="44"/>
      <c r="AA121" s="39" t="s">
        <v>31</v>
      </c>
      <c r="AB121" s="118">
        <v>45658</v>
      </c>
    </row>
    <row r="122" spans="1:54" ht="30" hidden="1" x14ac:dyDescent="0.25">
      <c r="B122" s="82"/>
      <c r="C122" s="37" t="s">
        <v>63</v>
      </c>
      <c r="D122" s="103" t="s">
        <v>64</v>
      </c>
      <c r="E122" s="123" t="s">
        <v>521</v>
      </c>
      <c r="F122" s="44"/>
      <c r="G122" s="44" t="s">
        <v>29</v>
      </c>
      <c r="H122" s="39">
        <v>4600002984</v>
      </c>
      <c r="I122" s="64">
        <v>92758788000118</v>
      </c>
      <c r="J122" s="85" t="s">
        <v>509</v>
      </c>
      <c r="K122" s="101" t="s">
        <v>297</v>
      </c>
      <c r="L122" s="40">
        <v>46213</v>
      </c>
      <c r="M122" s="49" t="s">
        <v>139</v>
      </c>
      <c r="N122" s="38" t="s">
        <v>76</v>
      </c>
      <c r="O122" s="37" t="s">
        <v>31</v>
      </c>
      <c r="P122" s="39" t="s">
        <v>294</v>
      </c>
      <c r="Q122" s="37" t="s">
        <v>31</v>
      </c>
      <c r="R122" s="43">
        <v>38</v>
      </c>
      <c r="S122" s="37" t="s">
        <v>31</v>
      </c>
      <c r="T122" s="40" t="s">
        <v>26</v>
      </c>
      <c r="U122" s="37" t="s">
        <v>31</v>
      </c>
      <c r="V122" s="43">
        <v>10</v>
      </c>
      <c r="W122" s="43" t="s">
        <v>26</v>
      </c>
      <c r="X122" s="37" t="s">
        <v>31</v>
      </c>
      <c r="Y122" s="39" t="s">
        <v>140</v>
      </c>
      <c r="Z122" s="44" t="s">
        <v>141</v>
      </c>
      <c r="AA122" s="39" t="s">
        <v>31</v>
      </c>
      <c r="AB122" s="118">
        <v>45658</v>
      </c>
    </row>
    <row r="123" spans="1:54" ht="60" x14ac:dyDescent="0.25">
      <c r="B123" s="82"/>
      <c r="C123" s="37" t="s">
        <v>63</v>
      </c>
      <c r="D123" s="103" t="s">
        <v>64</v>
      </c>
      <c r="E123" s="123" t="s">
        <v>521</v>
      </c>
      <c r="F123" s="44"/>
      <c r="G123" s="39" t="s">
        <v>31</v>
      </c>
      <c r="H123" s="84">
        <v>4600003034</v>
      </c>
      <c r="I123" s="114">
        <v>3502099000118</v>
      </c>
      <c r="J123" s="85" t="s">
        <v>510</v>
      </c>
      <c r="K123" s="116" t="s">
        <v>316</v>
      </c>
      <c r="L123" s="86">
        <v>45990</v>
      </c>
      <c r="M123" s="90" t="s">
        <v>191</v>
      </c>
      <c r="N123" s="38" t="s">
        <v>66</v>
      </c>
      <c r="O123" s="88" t="s">
        <v>29</v>
      </c>
      <c r="P123" s="77" t="s">
        <v>295</v>
      </c>
      <c r="Q123" s="88" t="s">
        <v>29</v>
      </c>
      <c r="R123" s="89" t="s">
        <v>26</v>
      </c>
      <c r="S123" s="88" t="s">
        <v>29</v>
      </c>
      <c r="T123" s="86" t="s">
        <v>26</v>
      </c>
      <c r="U123" s="88" t="s">
        <v>31</v>
      </c>
      <c r="V123" s="89">
        <v>1</v>
      </c>
      <c r="W123" s="89">
        <v>30</v>
      </c>
      <c r="X123" s="88" t="s">
        <v>31</v>
      </c>
      <c r="Y123" s="77" t="s">
        <v>32</v>
      </c>
      <c r="Z123" s="79" t="s">
        <v>192</v>
      </c>
      <c r="AA123" s="77" t="s">
        <v>31</v>
      </c>
      <c r="AB123" s="118">
        <v>45658</v>
      </c>
    </row>
    <row r="124" spans="1:54" hidden="1" x14ac:dyDescent="0.25">
      <c r="B124" s="82"/>
      <c r="C124" s="37" t="s">
        <v>63</v>
      </c>
      <c r="D124" s="103" t="s">
        <v>64</v>
      </c>
      <c r="E124" s="123" t="s">
        <v>521</v>
      </c>
      <c r="F124" s="44"/>
      <c r="G124" s="44" t="s">
        <v>29</v>
      </c>
      <c r="H124" s="39">
        <v>4600003030</v>
      </c>
      <c r="I124" s="72">
        <v>7094841434</v>
      </c>
      <c r="J124" s="85" t="s">
        <v>509</v>
      </c>
      <c r="K124" s="101" t="s">
        <v>306</v>
      </c>
      <c r="L124" s="40">
        <v>46053</v>
      </c>
      <c r="M124" s="49" t="s">
        <v>131</v>
      </c>
      <c r="N124" s="38" t="s">
        <v>76</v>
      </c>
      <c r="O124" s="37" t="s">
        <v>31</v>
      </c>
      <c r="P124" s="39" t="s">
        <v>294</v>
      </c>
      <c r="Q124" s="37" t="s">
        <v>31</v>
      </c>
      <c r="R124" s="43">
        <v>16.100000000000001</v>
      </c>
      <c r="S124" s="37" t="s">
        <v>31</v>
      </c>
      <c r="T124" s="40" t="s">
        <v>26</v>
      </c>
      <c r="U124" s="37" t="s">
        <v>31</v>
      </c>
      <c r="V124" s="43">
        <v>14.1</v>
      </c>
      <c r="W124" s="43">
        <v>60</v>
      </c>
      <c r="X124" s="37" t="s">
        <v>29</v>
      </c>
      <c r="Y124" s="39" t="s">
        <v>26</v>
      </c>
      <c r="Z124" s="44"/>
      <c r="AA124" s="39" t="s">
        <v>31</v>
      </c>
      <c r="AB124" s="118">
        <v>45658</v>
      </c>
    </row>
    <row r="125" spans="1:54" s="17" customFormat="1" hidden="1" x14ac:dyDescent="0.25">
      <c r="A125" s="1"/>
      <c r="B125" s="82"/>
      <c r="C125" s="37" t="s">
        <v>63</v>
      </c>
      <c r="D125" s="103" t="s">
        <v>64</v>
      </c>
      <c r="E125" s="123" t="s">
        <v>521</v>
      </c>
      <c r="F125" s="44"/>
      <c r="G125" s="44" t="s">
        <v>29</v>
      </c>
      <c r="H125" s="39">
        <v>4600002704</v>
      </c>
      <c r="I125" s="72">
        <v>90302389920</v>
      </c>
      <c r="J125" s="85" t="s">
        <v>509</v>
      </c>
      <c r="K125" s="101" t="s">
        <v>309</v>
      </c>
      <c r="L125" s="40">
        <v>45777</v>
      </c>
      <c r="M125" s="45" t="s">
        <v>96</v>
      </c>
      <c r="N125" s="38" t="s">
        <v>76</v>
      </c>
      <c r="O125" s="37" t="s">
        <v>31</v>
      </c>
      <c r="P125" s="39" t="s">
        <v>294</v>
      </c>
      <c r="Q125" s="37" t="s">
        <v>31</v>
      </c>
      <c r="R125" s="43">
        <v>15.1</v>
      </c>
      <c r="S125" s="37" t="s">
        <v>31</v>
      </c>
      <c r="T125" s="40" t="s">
        <v>26</v>
      </c>
      <c r="U125" s="37" t="s">
        <v>31</v>
      </c>
      <c r="V125" s="43">
        <v>13.1</v>
      </c>
      <c r="W125" s="43">
        <v>60</v>
      </c>
      <c r="X125" s="37" t="s">
        <v>29</v>
      </c>
      <c r="Y125" s="39" t="s">
        <v>26</v>
      </c>
      <c r="Z125" s="44"/>
      <c r="AA125" s="39" t="s">
        <v>31</v>
      </c>
      <c r="AB125" s="118">
        <v>45658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s="17" customFormat="1" ht="30" hidden="1" x14ac:dyDescent="0.25">
      <c r="A126" s="1"/>
      <c r="B126" s="82"/>
      <c r="C126" s="37" t="s">
        <v>63</v>
      </c>
      <c r="D126" s="103" t="s">
        <v>64</v>
      </c>
      <c r="E126" s="123" t="s">
        <v>521</v>
      </c>
      <c r="F126" s="44"/>
      <c r="G126" s="44" t="s">
        <v>29</v>
      </c>
      <c r="H126" s="39">
        <v>4600002432</v>
      </c>
      <c r="I126" s="64">
        <v>33054115000118</v>
      </c>
      <c r="J126" s="85" t="s">
        <v>553</v>
      </c>
      <c r="K126" s="101" t="s">
        <v>387</v>
      </c>
      <c r="L126" s="40">
        <v>45914</v>
      </c>
      <c r="M126" s="49" t="s">
        <v>65</v>
      </c>
      <c r="N126" s="38" t="s">
        <v>66</v>
      </c>
      <c r="O126" s="37" t="s">
        <v>31</v>
      </c>
      <c r="P126" s="39" t="s">
        <v>294</v>
      </c>
      <c r="Q126" s="37" t="s">
        <v>29</v>
      </c>
      <c r="R126" s="43" t="s">
        <v>26</v>
      </c>
      <c r="S126" s="37" t="s">
        <v>29</v>
      </c>
      <c r="T126" s="40" t="s">
        <v>26</v>
      </c>
      <c r="U126" s="37" t="s">
        <v>31</v>
      </c>
      <c r="V126" s="43">
        <v>10.199999999999999</v>
      </c>
      <c r="W126" s="43">
        <v>90</v>
      </c>
      <c r="X126" s="37" t="s">
        <v>29</v>
      </c>
      <c r="Y126" s="39" t="s">
        <v>26</v>
      </c>
      <c r="Z126" s="44"/>
      <c r="AA126" s="39" t="s">
        <v>31</v>
      </c>
      <c r="AB126" s="118">
        <v>45658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30" hidden="1" x14ac:dyDescent="0.25">
      <c r="B127" s="82"/>
      <c r="C127" s="37" t="s">
        <v>63</v>
      </c>
      <c r="D127" s="103" t="s">
        <v>64</v>
      </c>
      <c r="E127" s="123" t="s">
        <v>521</v>
      </c>
      <c r="F127" s="44"/>
      <c r="G127" s="44" t="s">
        <v>29</v>
      </c>
      <c r="H127" s="39">
        <v>4600002963</v>
      </c>
      <c r="I127" s="64">
        <v>2406723000110</v>
      </c>
      <c r="J127" s="85" t="s">
        <v>509</v>
      </c>
      <c r="K127" s="101" t="s">
        <v>313</v>
      </c>
      <c r="L127" s="40">
        <v>46366</v>
      </c>
      <c r="M127" s="41" t="s">
        <v>109</v>
      </c>
      <c r="N127" s="38" t="s">
        <v>76</v>
      </c>
      <c r="O127" s="37" t="s">
        <v>29</v>
      </c>
      <c r="P127" s="39" t="s">
        <v>10</v>
      </c>
      <c r="Q127" s="37" t="s">
        <v>31</v>
      </c>
      <c r="R127" s="43">
        <v>17</v>
      </c>
      <c r="S127" s="37" t="s">
        <v>31</v>
      </c>
      <c r="T127" s="52">
        <v>30</v>
      </c>
      <c r="U127" s="37" t="s">
        <v>31</v>
      </c>
      <c r="V127" s="43">
        <v>14</v>
      </c>
      <c r="W127" s="43">
        <v>60</v>
      </c>
      <c r="X127" s="37" t="s">
        <v>31</v>
      </c>
      <c r="Y127" s="39" t="s">
        <v>32</v>
      </c>
      <c r="Z127" s="44" t="s">
        <v>110</v>
      </c>
      <c r="AA127" s="39" t="s">
        <v>31</v>
      </c>
      <c r="AB127" s="118">
        <v>45658</v>
      </c>
    </row>
    <row r="128" spans="1:54" ht="39.75" hidden="1" customHeight="1" x14ac:dyDescent="0.25">
      <c r="B128" s="82"/>
      <c r="C128" s="37" t="s">
        <v>183</v>
      </c>
      <c r="D128" s="103" t="s">
        <v>64</v>
      </c>
      <c r="E128" s="123" t="s">
        <v>521</v>
      </c>
      <c r="F128" s="44"/>
      <c r="G128" s="39" t="s">
        <v>29</v>
      </c>
      <c r="H128" s="39">
        <v>4600002662</v>
      </c>
      <c r="I128" s="64">
        <v>57750655000102</v>
      </c>
      <c r="J128" s="85" t="s">
        <v>515</v>
      </c>
      <c r="K128" s="101" t="s">
        <v>403</v>
      </c>
      <c r="L128" s="40">
        <v>46194</v>
      </c>
      <c r="M128" s="41" t="s">
        <v>184</v>
      </c>
      <c r="N128" s="38" t="s">
        <v>66</v>
      </c>
      <c r="O128" s="37" t="s">
        <v>31</v>
      </c>
      <c r="P128" s="39" t="s">
        <v>294</v>
      </c>
      <c r="Q128" s="37" t="s">
        <v>29</v>
      </c>
      <c r="R128" s="43" t="s">
        <v>26</v>
      </c>
      <c r="S128" s="37" t="s">
        <v>29</v>
      </c>
      <c r="T128" s="40" t="s">
        <v>26</v>
      </c>
      <c r="U128" s="37" t="s">
        <v>31</v>
      </c>
      <c r="V128" s="43">
        <v>10.199999999999999</v>
      </c>
      <c r="W128" s="43">
        <v>60</v>
      </c>
      <c r="X128" s="37" t="s">
        <v>29</v>
      </c>
      <c r="Y128" s="39" t="s">
        <v>26</v>
      </c>
      <c r="Z128" s="44"/>
      <c r="AA128" s="39" t="s">
        <v>31</v>
      </c>
      <c r="AB128" s="118">
        <v>45658</v>
      </c>
    </row>
    <row r="129" spans="2:42" ht="38.25" customHeight="1" x14ac:dyDescent="0.25">
      <c r="B129" s="82"/>
      <c r="C129" s="37" t="s">
        <v>183</v>
      </c>
      <c r="D129" s="103" t="s">
        <v>64</v>
      </c>
      <c r="E129" s="123" t="s">
        <v>521</v>
      </c>
      <c r="F129" s="44"/>
      <c r="G129" s="39" t="s">
        <v>31</v>
      </c>
      <c r="H129" s="39">
        <v>4600003012</v>
      </c>
      <c r="I129" s="64">
        <v>3813865000165</v>
      </c>
      <c r="J129" s="85" t="s">
        <v>552</v>
      </c>
      <c r="K129" s="101" t="s">
        <v>319</v>
      </c>
      <c r="L129" s="40">
        <v>46337</v>
      </c>
      <c r="M129" s="41" t="s">
        <v>193</v>
      </c>
      <c r="N129" s="38" t="s">
        <v>66</v>
      </c>
      <c r="O129" s="37" t="s">
        <v>31</v>
      </c>
      <c r="P129" s="39" t="s">
        <v>294</v>
      </c>
      <c r="Q129" s="37" t="s">
        <v>29</v>
      </c>
      <c r="R129" s="43" t="s">
        <v>26</v>
      </c>
      <c r="S129" s="37" t="s">
        <v>29</v>
      </c>
      <c r="T129" s="40" t="s">
        <v>26</v>
      </c>
      <c r="U129" s="37" t="s">
        <v>31</v>
      </c>
      <c r="V129" s="43">
        <v>10.199999999999999</v>
      </c>
      <c r="W129" s="43">
        <v>60</v>
      </c>
      <c r="X129" s="37" t="s">
        <v>29</v>
      </c>
      <c r="Y129" s="39" t="s">
        <v>26</v>
      </c>
      <c r="Z129" s="44"/>
      <c r="AA129" s="39" t="s">
        <v>31</v>
      </c>
      <c r="AB129" s="118">
        <v>45658</v>
      </c>
    </row>
    <row r="130" spans="2:42" ht="30" x14ac:dyDescent="0.25">
      <c r="B130" s="82" t="s">
        <v>276</v>
      </c>
      <c r="C130" s="37" t="s">
        <v>25</v>
      </c>
      <c r="D130" s="103" t="s">
        <v>439</v>
      </c>
      <c r="E130" s="124" t="s">
        <v>269</v>
      </c>
      <c r="F130" s="44"/>
      <c r="G130" s="39" t="s">
        <v>31</v>
      </c>
      <c r="H130" s="39" t="s">
        <v>587</v>
      </c>
      <c r="I130" s="64">
        <v>28442602000118</v>
      </c>
      <c r="J130" s="85" t="s">
        <v>513</v>
      </c>
      <c r="K130" s="115" t="s">
        <v>550</v>
      </c>
      <c r="L130" s="46">
        <v>46235</v>
      </c>
      <c r="M130" s="47" t="s">
        <v>458</v>
      </c>
      <c r="N130" s="37" t="s">
        <v>25</v>
      </c>
      <c r="O130" s="37"/>
      <c r="P130" s="39"/>
      <c r="Q130" s="37"/>
      <c r="R130" s="43"/>
      <c r="S130" s="37"/>
      <c r="T130" s="40"/>
      <c r="U130" s="37"/>
      <c r="V130" s="43"/>
      <c r="W130" s="43"/>
      <c r="X130" s="37"/>
      <c r="Y130" s="39"/>
      <c r="Z130" s="44" t="s">
        <v>536</v>
      </c>
      <c r="AA130" s="39" t="s">
        <v>31</v>
      </c>
      <c r="AB130" s="118">
        <v>45717</v>
      </c>
    </row>
    <row r="131" spans="2:42" ht="35.25" customHeight="1" x14ac:dyDescent="0.25">
      <c r="B131" s="82" t="s">
        <v>276</v>
      </c>
      <c r="C131" s="37" t="s">
        <v>25</v>
      </c>
      <c r="D131" s="103" t="s">
        <v>439</v>
      </c>
      <c r="E131" s="124" t="s">
        <v>271</v>
      </c>
      <c r="F131" s="44"/>
      <c r="G131" s="39" t="s">
        <v>31</v>
      </c>
      <c r="H131" s="39" t="s">
        <v>587</v>
      </c>
      <c r="I131" s="64">
        <v>2102498000129</v>
      </c>
      <c r="J131" s="85" t="s">
        <v>510</v>
      </c>
      <c r="K131" s="115" t="s">
        <v>296</v>
      </c>
      <c r="L131" s="40">
        <v>45777</v>
      </c>
      <c r="M131" s="56" t="s">
        <v>266</v>
      </c>
      <c r="N131" s="38" t="s">
        <v>25</v>
      </c>
      <c r="O131" s="37"/>
      <c r="P131" s="39" t="s">
        <v>294</v>
      </c>
      <c r="Q131" s="37"/>
      <c r="R131" s="43"/>
      <c r="S131" s="37"/>
      <c r="T131" s="40"/>
      <c r="U131" s="37"/>
      <c r="V131" s="43"/>
      <c r="W131" s="43"/>
      <c r="X131" s="37"/>
      <c r="Y131" s="39"/>
      <c r="Z131" s="44" t="s">
        <v>548</v>
      </c>
      <c r="AA131" s="39" t="s">
        <v>31</v>
      </c>
      <c r="AB131" s="118">
        <v>45717</v>
      </c>
    </row>
    <row r="132" spans="2:42" ht="37.5" customHeight="1" x14ac:dyDescent="0.25">
      <c r="B132" s="82" t="s">
        <v>276</v>
      </c>
      <c r="C132" s="37" t="s">
        <v>25</v>
      </c>
      <c r="D132" s="103" t="s">
        <v>439</v>
      </c>
      <c r="E132" s="124" t="s">
        <v>269</v>
      </c>
      <c r="F132" s="44" t="s">
        <v>452</v>
      </c>
      <c r="G132" s="39" t="s">
        <v>31</v>
      </c>
      <c r="H132" s="39" t="s">
        <v>587</v>
      </c>
      <c r="I132" s="64" t="s">
        <v>287</v>
      </c>
      <c r="J132" s="85" t="s">
        <v>513</v>
      </c>
      <c r="K132" s="115" t="s">
        <v>588</v>
      </c>
      <c r="L132" s="40">
        <v>46006</v>
      </c>
      <c r="M132" s="56" t="s">
        <v>243</v>
      </c>
      <c r="N132" s="39" t="s">
        <v>28</v>
      </c>
      <c r="O132" s="37"/>
      <c r="P132" s="39" t="s">
        <v>294</v>
      </c>
      <c r="Q132" s="37"/>
      <c r="R132" s="43"/>
      <c r="S132" s="37"/>
      <c r="T132" s="40"/>
      <c r="U132" s="37"/>
      <c r="V132" s="43"/>
      <c r="W132" s="43"/>
      <c r="X132" s="37"/>
      <c r="Y132" s="39"/>
      <c r="Z132" s="44"/>
      <c r="AA132" s="39" t="s">
        <v>31</v>
      </c>
      <c r="AB132" s="118">
        <v>45717</v>
      </c>
    </row>
    <row r="133" spans="2:42" ht="30" x14ac:dyDescent="0.25">
      <c r="B133" s="82" t="s">
        <v>276</v>
      </c>
      <c r="C133" s="37" t="s">
        <v>25</v>
      </c>
      <c r="D133" s="103" t="s">
        <v>439</v>
      </c>
      <c r="E133" s="124" t="s">
        <v>269</v>
      </c>
      <c r="F133" s="44"/>
      <c r="G133" s="39" t="s">
        <v>31</v>
      </c>
      <c r="H133" s="39" t="s">
        <v>587</v>
      </c>
      <c r="I133" s="73">
        <v>63554067000198</v>
      </c>
      <c r="J133" s="85" t="s">
        <v>508</v>
      </c>
      <c r="K133" s="115" t="s">
        <v>245</v>
      </c>
      <c r="L133" s="40">
        <v>45748</v>
      </c>
      <c r="M133" s="56" t="s">
        <v>27</v>
      </c>
      <c r="N133" s="39" t="s">
        <v>61</v>
      </c>
      <c r="O133" s="37"/>
      <c r="P133" s="39" t="s">
        <v>294</v>
      </c>
      <c r="Q133" s="37"/>
      <c r="R133" s="43"/>
      <c r="S133" s="37"/>
      <c r="T133" s="40"/>
      <c r="U133" s="37"/>
      <c r="V133" s="43"/>
      <c r="W133" s="43"/>
      <c r="X133" s="37"/>
      <c r="Y133" s="39"/>
      <c r="Z133" s="44" t="s">
        <v>548</v>
      </c>
      <c r="AA133" s="39" t="s">
        <v>31</v>
      </c>
      <c r="AB133" s="118">
        <v>45717</v>
      </c>
    </row>
    <row r="134" spans="2:42" ht="30" x14ac:dyDescent="0.25">
      <c r="B134" s="82" t="s">
        <v>276</v>
      </c>
      <c r="C134" s="37" t="s">
        <v>25</v>
      </c>
      <c r="D134" s="103" t="s">
        <v>439</v>
      </c>
      <c r="E134" s="124" t="s">
        <v>269</v>
      </c>
      <c r="F134" s="44" t="s">
        <v>453</v>
      </c>
      <c r="G134" s="39" t="s">
        <v>31</v>
      </c>
      <c r="H134" s="39" t="s">
        <v>587</v>
      </c>
      <c r="I134" s="73">
        <v>42405197000199</v>
      </c>
      <c r="J134" s="85" t="s">
        <v>508</v>
      </c>
      <c r="K134" s="115" t="s">
        <v>244</v>
      </c>
      <c r="L134" s="40">
        <v>45778</v>
      </c>
      <c r="M134" s="56" t="s">
        <v>580</v>
      </c>
      <c r="N134" s="39" t="s">
        <v>61</v>
      </c>
      <c r="O134" s="37"/>
      <c r="P134" s="39" t="s">
        <v>294</v>
      </c>
      <c r="Q134" s="37"/>
      <c r="R134" s="43"/>
      <c r="S134" s="37"/>
      <c r="T134" s="40"/>
      <c r="U134" s="37"/>
      <c r="V134" s="43"/>
      <c r="W134" s="43"/>
      <c r="X134" s="37"/>
      <c r="Y134" s="39"/>
      <c r="Z134" s="44"/>
      <c r="AA134" s="39" t="s">
        <v>31</v>
      </c>
      <c r="AB134" s="118">
        <v>45717</v>
      </c>
    </row>
    <row r="135" spans="2:42" hidden="1" x14ac:dyDescent="0.25">
      <c r="B135" s="82" t="s">
        <v>276</v>
      </c>
      <c r="C135" s="37" t="s">
        <v>25</v>
      </c>
      <c r="D135" s="103" t="s">
        <v>439</v>
      </c>
      <c r="E135" s="123" t="s">
        <v>268</v>
      </c>
      <c r="F135" s="44" t="s">
        <v>451</v>
      </c>
      <c r="G135" s="44"/>
      <c r="H135" s="39" t="s">
        <v>587</v>
      </c>
      <c r="I135" s="71">
        <v>4740876000125</v>
      </c>
      <c r="J135" s="85" t="s">
        <v>513</v>
      </c>
      <c r="K135" s="115" t="s">
        <v>282</v>
      </c>
      <c r="L135" s="40">
        <v>45778</v>
      </c>
      <c r="M135" s="56" t="s">
        <v>263</v>
      </c>
      <c r="N135" s="38" t="s">
        <v>25</v>
      </c>
      <c r="O135" s="37"/>
      <c r="P135" s="39" t="s">
        <v>294</v>
      </c>
      <c r="Q135" s="37"/>
      <c r="R135" s="43"/>
      <c r="S135" s="37"/>
      <c r="T135" s="40"/>
      <c r="U135" s="37"/>
      <c r="V135" s="43"/>
      <c r="W135" s="43"/>
      <c r="X135" s="37"/>
      <c r="Y135" s="39"/>
      <c r="Z135" s="44" t="s">
        <v>548</v>
      </c>
      <c r="AA135" s="39" t="s">
        <v>31</v>
      </c>
      <c r="AB135" s="118">
        <v>45717</v>
      </c>
    </row>
    <row r="136" spans="2:42" ht="45" hidden="1" x14ac:dyDescent="0.25">
      <c r="B136" s="82" t="s">
        <v>276</v>
      </c>
      <c r="C136" s="37" t="s">
        <v>159</v>
      </c>
      <c r="D136" s="103" t="s">
        <v>129</v>
      </c>
      <c r="E136" s="123" t="s">
        <v>521</v>
      </c>
      <c r="F136" s="44" t="s">
        <v>523</v>
      </c>
      <c r="G136" s="39" t="s">
        <v>29</v>
      </c>
      <c r="H136" s="39" t="s">
        <v>26</v>
      </c>
      <c r="I136" s="64" t="s">
        <v>289</v>
      </c>
      <c r="J136" s="85" t="s">
        <v>511</v>
      </c>
      <c r="K136" s="115" t="s">
        <v>291</v>
      </c>
      <c r="L136" s="40" t="s">
        <v>261</v>
      </c>
      <c r="M136" s="56" t="s">
        <v>260</v>
      </c>
      <c r="N136" s="39" t="s">
        <v>28</v>
      </c>
      <c r="O136" s="37" t="s">
        <v>29</v>
      </c>
      <c r="P136" s="39" t="s">
        <v>10</v>
      </c>
      <c r="Q136" s="37"/>
      <c r="R136" s="43"/>
      <c r="S136" s="37"/>
      <c r="T136" s="40"/>
      <c r="U136" s="37"/>
      <c r="V136" s="43"/>
      <c r="W136" s="43"/>
      <c r="X136" s="37"/>
      <c r="Y136" s="39"/>
      <c r="Z136" s="44"/>
      <c r="AA136" s="39" t="s">
        <v>31</v>
      </c>
      <c r="AB136" s="118">
        <v>45717</v>
      </c>
    </row>
    <row r="137" spans="2:42" hidden="1" x14ac:dyDescent="0.25">
      <c r="B137" s="82" t="s">
        <v>276</v>
      </c>
      <c r="C137" s="37" t="s">
        <v>84</v>
      </c>
      <c r="D137" s="103" t="s">
        <v>59</v>
      </c>
      <c r="E137" s="123" t="s">
        <v>268</v>
      </c>
      <c r="F137" s="44" t="s">
        <v>480</v>
      </c>
      <c r="G137" s="44"/>
      <c r="H137" s="39">
        <v>4600002898</v>
      </c>
      <c r="I137" s="64" t="s">
        <v>535</v>
      </c>
      <c r="J137" s="85" t="s">
        <v>514</v>
      </c>
      <c r="K137" s="101" t="s">
        <v>365</v>
      </c>
      <c r="L137" s="40" t="s">
        <v>235</v>
      </c>
      <c r="M137" s="49"/>
      <c r="N137" s="38" t="s">
        <v>76</v>
      </c>
      <c r="O137" s="37" t="s">
        <v>76</v>
      </c>
      <c r="P137" s="39" t="s">
        <v>31</v>
      </c>
      <c r="Q137" s="37" t="s">
        <v>29</v>
      </c>
      <c r="R137" s="43" t="s">
        <v>26</v>
      </c>
      <c r="S137" s="37" t="s">
        <v>29</v>
      </c>
      <c r="T137" s="40" t="s">
        <v>26</v>
      </c>
      <c r="U137" s="37" t="s">
        <v>31</v>
      </c>
      <c r="V137" s="43">
        <v>10.199999999999999</v>
      </c>
      <c r="W137" s="43">
        <v>30</v>
      </c>
      <c r="X137" s="37" t="s">
        <v>29</v>
      </c>
      <c r="Y137" s="39" t="s">
        <v>26</v>
      </c>
      <c r="Z137" s="44"/>
      <c r="AA137" s="39" t="s">
        <v>31</v>
      </c>
      <c r="AB137" s="118">
        <v>45658</v>
      </c>
    </row>
    <row r="138" spans="2:42" ht="30" hidden="1" x14ac:dyDescent="0.25">
      <c r="B138" s="82" t="s">
        <v>276</v>
      </c>
      <c r="C138" s="37" t="s">
        <v>34</v>
      </c>
      <c r="D138" s="103" t="s">
        <v>35</v>
      </c>
      <c r="E138" s="123" t="s">
        <v>268</v>
      </c>
      <c r="F138" s="44"/>
      <c r="G138" s="39"/>
      <c r="H138" s="39">
        <v>4600002936</v>
      </c>
      <c r="I138" s="64">
        <v>2421421000111</v>
      </c>
      <c r="J138" s="85" t="s">
        <v>561</v>
      </c>
      <c r="K138" s="101" t="s">
        <v>284</v>
      </c>
      <c r="L138" s="40">
        <v>45930</v>
      </c>
      <c r="M138" s="45" t="s">
        <v>564</v>
      </c>
      <c r="N138" s="38" t="s">
        <v>61</v>
      </c>
      <c r="O138" s="37" t="s">
        <v>29</v>
      </c>
      <c r="P138" s="39" t="s">
        <v>10</v>
      </c>
      <c r="Q138" s="42" t="s">
        <v>88</v>
      </c>
      <c r="R138" s="42"/>
      <c r="S138" s="42"/>
      <c r="T138" s="42"/>
      <c r="U138" s="37" t="s">
        <v>31</v>
      </c>
      <c r="V138" s="43" t="s">
        <v>207</v>
      </c>
      <c r="W138" s="43" t="s">
        <v>26</v>
      </c>
      <c r="X138" s="37" t="s">
        <v>31</v>
      </c>
      <c r="Y138" s="39" t="s">
        <v>32</v>
      </c>
      <c r="Z138" s="44" t="s">
        <v>208</v>
      </c>
      <c r="AA138" s="39" t="s">
        <v>31</v>
      </c>
      <c r="AB138" s="118">
        <v>45658</v>
      </c>
      <c r="AE138" s="69"/>
      <c r="AF138" s="69"/>
      <c r="AI138" s="69"/>
      <c r="AJ138" s="69"/>
      <c r="AN138" s="69"/>
      <c r="AO138" s="69"/>
      <c r="AP138" s="69"/>
    </row>
    <row r="139" spans="2:42" ht="28.5" customHeight="1" x14ac:dyDescent="0.25">
      <c r="B139" s="82" t="s">
        <v>276</v>
      </c>
      <c r="C139" s="37" t="s">
        <v>34</v>
      </c>
      <c r="D139" s="103" t="s">
        <v>35</v>
      </c>
      <c r="E139" s="123" t="s">
        <v>521</v>
      </c>
      <c r="F139" s="44" t="s">
        <v>555</v>
      </c>
      <c r="G139" s="39" t="s">
        <v>31</v>
      </c>
      <c r="H139" s="39" t="s">
        <v>587</v>
      </c>
      <c r="I139" s="64" t="s">
        <v>288</v>
      </c>
      <c r="J139" s="85" t="s">
        <v>565</v>
      </c>
      <c r="K139" s="101" t="s">
        <v>284</v>
      </c>
      <c r="L139" s="40">
        <v>46130</v>
      </c>
      <c r="M139" s="41" t="s">
        <v>36</v>
      </c>
      <c r="N139" s="38" t="s">
        <v>28</v>
      </c>
      <c r="O139" s="37" t="s">
        <v>29</v>
      </c>
      <c r="P139" s="39" t="s">
        <v>10</v>
      </c>
      <c r="Q139" s="37" t="s">
        <v>31</v>
      </c>
      <c r="R139" s="43">
        <v>4.0999999999999996</v>
      </c>
      <c r="S139" s="37" t="s">
        <v>31</v>
      </c>
      <c r="T139" s="40" t="s">
        <v>26</v>
      </c>
      <c r="U139" s="37" t="s">
        <v>31</v>
      </c>
      <c r="V139" s="43">
        <v>3.1</v>
      </c>
      <c r="W139" s="43" t="s">
        <v>26</v>
      </c>
      <c r="X139" s="37" t="s">
        <v>31</v>
      </c>
      <c r="Y139" s="39" t="s">
        <v>32</v>
      </c>
      <c r="Z139" s="44" t="s">
        <v>37</v>
      </c>
      <c r="AA139" s="39" t="s">
        <v>31</v>
      </c>
      <c r="AB139" s="118">
        <v>45658</v>
      </c>
    </row>
    <row r="140" spans="2:42" ht="36.75" hidden="1" customHeight="1" x14ac:dyDescent="0.25">
      <c r="B140" s="82" t="s">
        <v>276</v>
      </c>
      <c r="C140" s="37" t="s">
        <v>159</v>
      </c>
      <c r="D140" s="103" t="s">
        <v>129</v>
      </c>
      <c r="E140" s="123" t="s">
        <v>521</v>
      </c>
      <c r="F140" s="44" t="s">
        <v>523</v>
      </c>
      <c r="G140" s="39" t="s">
        <v>29</v>
      </c>
      <c r="H140" s="39">
        <v>4600003035</v>
      </c>
      <c r="I140" s="64">
        <v>32025186000120</v>
      </c>
      <c r="J140" s="85" t="s">
        <v>552</v>
      </c>
      <c r="K140" s="115" t="s">
        <v>412</v>
      </c>
      <c r="L140" s="40">
        <v>45900</v>
      </c>
      <c r="M140" s="45" t="s">
        <v>216</v>
      </c>
      <c r="N140" s="38" t="s">
        <v>66</v>
      </c>
      <c r="O140" s="37" t="s">
        <v>31</v>
      </c>
      <c r="P140" s="39" t="s">
        <v>294</v>
      </c>
      <c r="Q140" s="37" t="s">
        <v>31</v>
      </c>
      <c r="R140" s="43" t="s">
        <v>217</v>
      </c>
      <c r="S140" s="37" t="s">
        <v>31</v>
      </c>
      <c r="T140" s="40" t="s">
        <v>26</v>
      </c>
      <c r="U140" s="37" t="s">
        <v>31</v>
      </c>
      <c r="V140" s="43" t="s">
        <v>218</v>
      </c>
      <c r="W140" s="43">
        <v>90</v>
      </c>
      <c r="X140" s="37" t="s">
        <v>29</v>
      </c>
      <c r="Y140" s="39" t="s">
        <v>26</v>
      </c>
      <c r="Z140" s="44"/>
      <c r="AA140" s="39" t="s">
        <v>31</v>
      </c>
      <c r="AB140" s="118">
        <v>45717</v>
      </c>
    </row>
    <row r="141" spans="2:42" ht="30" hidden="1" x14ac:dyDescent="0.25">
      <c r="B141" s="82" t="s">
        <v>276</v>
      </c>
      <c r="C141" s="37" t="s">
        <v>34</v>
      </c>
      <c r="D141" s="103" t="s">
        <v>35</v>
      </c>
      <c r="E141" s="123" t="s">
        <v>271</v>
      </c>
      <c r="F141" s="44"/>
      <c r="G141" s="39" t="s">
        <v>29</v>
      </c>
      <c r="H141" s="84">
        <v>4600002790</v>
      </c>
      <c r="I141" s="85">
        <v>7432517000107</v>
      </c>
      <c r="J141" s="85" t="s">
        <v>478</v>
      </c>
      <c r="K141" s="116" t="s">
        <v>339</v>
      </c>
      <c r="L141" s="86">
        <v>46132</v>
      </c>
      <c r="M141" s="87" t="s">
        <v>103</v>
      </c>
      <c r="N141" s="38" t="s">
        <v>61</v>
      </c>
      <c r="O141" s="88" t="s">
        <v>29</v>
      </c>
      <c r="P141" s="77" t="s">
        <v>295</v>
      </c>
      <c r="Q141" s="88" t="s">
        <v>31</v>
      </c>
      <c r="R141" s="89">
        <v>12.1</v>
      </c>
      <c r="S141" s="88" t="s">
        <v>29</v>
      </c>
      <c r="T141" s="86" t="s">
        <v>26</v>
      </c>
      <c r="U141" s="88" t="s">
        <v>31</v>
      </c>
      <c r="V141" s="89">
        <v>10.199999999999999</v>
      </c>
      <c r="W141" s="89">
        <v>90</v>
      </c>
      <c r="X141" s="88" t="s">
        <v>31</v>
      </c>
      <c r="Y141" s="92">
        <v>0.5</v>
      </c>
      <c r="Z141" s="79" t="s">
        <v>104</v>
      </c>
      <c r="AA141" s="77" t="s">
        <v>31</v>
      </c>
      <c r="AB141" s="118">
        <v>45658</v>
      </c>
    </row>
    <row r="142" spans="2:42" ht="30" hidden="1" x14ac:dyDescent="0.25">
      <c r="B142" s="82" t="s">
        <v>276</v>
      </c>
      <c r="C142" s="37" t="s">
        <v>34</v>
      </c>
      <c r="D142" s="103" t="s">
        <v>35</v>
      </c>
      <c r="E142" s="123" t="s">
        <v>521</v>
      </c>
      <c r="F142" s="44" t="s">
        <v>555</v>
      </c>
      <c r="G142" s="39" t="s">
        <v>29</v>
      </c>
      <c r="H142" s="39">
        <v>4600002905</v>
      </c>
      <c r="I142" s="64">
        <v>13611737000435</v>
      </c>
      <c r="J142" s="85" t="s">
        <v>569</v>
      </c>
      <c r="K142" s="101" t="s">
        <v>353</v>
      </c>
      <c r="L142" s="40">
        <v>45826</v>
      </c>
      <c r="M142" s="49" t="s">
        <v>146</v>
      </c>
      <c r="N142" s="38" t="s">
        <v>61</v>
      </c>
      <c r="O142" s="37" t="s">
        <v>31</v>
      </c>
      <c r="P142" s="39" t="s">
        <v>294</v>
      </c>
      <c r="Q142" s="37" t="s">
        <v>29</v>
      </c>
      <c r="R142" s="43" t="s">
        <v>26</v>
      </c>
      <c r="S142" s="37" t="s">
        <v>29</v>
      </c>
      <c r="T142" s="40" t="s">
        <v>26</v>
      </c>
      <c r="U142" s="37" t="s">
        <v>31</v>
      </c>
      <c r="V142" s="43">
        <v>10.199999999999999</v>
      </c>
      <c r="W142" s="43">
        <v>30</v>
      </c>
      <c r="X142" s="37" t="s">
        <v>29</v>
      </c>
      <c r="Y142" s="39" t="s">
        <v>26</v>
      </c>
      <c r="Z142" s="44"/>
      <c r="AA142" s="39" t="s">
        <v>31</v>
      </c>
      <c r="AB142" s="118">
        <v>45658</v>
      </c>
    </row>
    <row r="143" spans="2:42" ht="24.75" hidden="1" customHeight="1" x14ac:dyDescent="0.25">
      <c r="B143" s="82" t="s">
        <v>276</v>
      </c>
      <c r="C143" s="37" t="s">
        <v>34</v>
      </c>
      <c r="D143" s="103" t="s">
        <v>35</v>
      </c>
      <c r="E143" s="123" t="s">
        <v>521</v>
      </c>
      <c r="F143" s="44" t="s">
        <v>555</v>
      </c>
      <c r="G143" s="39" t="s">
        <v>29</v>
      </c>
      <c r="H143" s="39">
        <v>4600002669</v>
      </c>
      <c r="I143" s="64">
        <v>26725746000156</v>
      </c>
      <c r="J143" s="85" t="s">
        <v>560</v>
      </c>
      <c r="K143" s="101" t="s">
        <v>375</v>
      </c>
      <c r="L143" s="40">
        <v>45717</v>
      </c>
      <c r="M143" s="87" t="s">
        <v>558</v>
      </c>
      <c r="N143" s="38" t="s">
        <v>61</v>
      </c>
      <c r="O143" s="37" t="s">
        <v>31</v>
      </c>
      <c r="P143" s="39" t="s">
        <v>294</v>
      </c>
      <c r="Q143" s="37" t="s">
        <v>29</v>
      </c>
      <c r="R143" s="43" t="s">
        <v>26</v>
      </c>
      <c r="S143" s="37" t="s">
        <v>29</v>
      </c>
      <c r="T143" s="40" t="s">
        <v>26</v>
      </c>
      <c r="U143" s="37" t="s">
        <v>31</v>
      </c>
      <c r="V143" s="43">
        <v>10.199999999999999</v>
      </c>
      <c r="W143" s="43">
        <v>30</v>
      </c>
      <c r="X143" s="37" t="s">
        <v>29</v>
      </c>
      <c r="Y143" s="39"/>
      <c r="Z143" s="44"/>
      <c r="AA143" s="39" t="s">
        <v>31</v>
      </c>
      <c r="AB143" s="118">
        <v>45658</v>
      </c>
    </row>
    <row r="144" spans="2:42" hidden="1" x14ac:dyDescent="0.25">
      <c r="B144" s="82" t="s">
        <v>276</v>
      </c>
      <c r="C144" s="37" t="s">
        <v>34</v>
      </c>
      <c r="D144" s="103" t="s">
        <v>35</v>
      </c>
      <c r="E144" s="123" t="s">
        <v>268</v>
      </c>
      <c r="F144" s="44" t="s">
        <v>563</v>
      </c>
      <c r="G144" s="150" t="s">
        <v>614</v>
      </c>
      <c r="H144" s="39">
        <v>4600002849</v>
      </c>
      <c r="I144" s="64">
        <v>13900620000129</v>
      </c>
      <c r="J144" s="85" t="s">
        <v>569</v>
      </c>
      <c r="K144" s="101" t="s">
        <v>354</v>
      </c>
      <c r="L144" s="40">
        <v>46022</v>
      </c>
      <c r="M144" s="49" t="s">
        <v>126</v>
      </c>
      <c r="N144" s="38" t="s">
        <v>61</v>
      </c>
      <c r="O144" s="37" t="s">
        <v>29</v>
      </c>
      <c r="P144" s="39" t="s">
        <v>10</v>
      </c>
      <c r="Q144" s="37" t="s">
        <v>29</v>
      </c>
      <c r="R144" s="43" t="s">
        <v>26</v>
      </c>
      <c r="S144" s="50" t="s">
        <v>29</v>
      </c>
      <c r="T144" s="51" t="s">
        <v>26</v>
      </c>
      <c r="U144" s="37" t="s">
        <v>31</v>
      </c>
      <c r="V144" s="43">
        <v>3</v>
      </c>
      <c r="W144" s="43" t="s">
        <v>26</v>
      </c>
      <c r="X144" s="37" t="s">
        <v>31</v>
      </c>
      <c r="Y144" s="48">
        <v>0.3</v>
      </c>
      <c r="Z144" s="44"/>
      <c r="AA144" s="39" t="s">
        <v>31</v>
      </c>
      <c r="AB144" s="118">
        <v>45658</v>
      </c>
    </row>
    <row r="145" spans="1:54" ht="30" hidden="1" x14ac:dyDescent="0.25">
      <c r="B145" s="82" t="s">
        <v>276</v>
      </c>
      <c r="C145" s="37" t="s">
        <v>34</v>
      </c>
      <c r="D145" s="103" t="s">
        <v>35</v>
      </c>
      <c r="E145" s="123" t="s">
        <v>271</v>
      </c>
      <c r="F145" s="44"/>
      <c r="G145" s="77" t="s">
        <v>29</v>
      </c>
      <c r="H145" s="84">
        <v>4600002981</v>
      </c>
      <c r="I145" s="85">
        <v>9162855000517</v>
      </c>
      <c r="J145" s="85" t="s">
        <v>552</v>
      </c>
      <c r="K145" s="116" t="s">
        <v>346</v>
      </c>
      <c r="L145" s="86">
        <v>46173</v>
      </c>
      <c r="M145" s="87" t="s">
        <v>97</v>
      </c>
      <c r="N145" s="38" t="s">
        <v>61</v>
      </c>
      <c r="O145" s="88" t="s">
        <v>29</v>
      </c>
      <c r="P145" s="77" t="s">
        <v>295</v>
      </c>
      <c r="Q145" s="122" t="s">
        <v>30</v>
      </c>
      <c r="R145" s="93"/>
      <c r="S145" s="93"/>
      <c r="T145" s="93"/>
      <c r="U145" s="88" t="s">
        <v>31</v>
      </c>
      <c r="V145" s="89" t="s">
        <v>98</v>
      </c>
      <c r="W145" s="89" t="s">
        <v>26</v>
      </c>
      <c r="X145" s="88" t="s">
        <v>31</v>
      </c>
      <c r="Y145" s="77" t="s">
        <v>32</v>
      </c>
      <c r="Z145" s="79" t="s">
        <v>99</v>
      </c>
      <c r="AA145" s="77" t="s">
        <v>31</v>
      </c>
      <c r="AB145" s="118">
        <v>45658</v>
      </c>
      <c r="AE145" s="69"/>
      <c r="AF145" s="69"/>
      <c r="AI145" s="69"/>
      <c r="AJ145" s="69"/>
      <c r="AN145" s="69"/>
      <c r="AO145" s="69"/>
      <c r="AP145" s="69"/>
    </row>
    <row r="146" spans="1:54" ht="30" hidden="1" x14ac:dyDescent="0.25">
      <c r="B146" s="82" t="s">
        <v>276</v>
      </c>
      <c r="C146" s="37" t="s">
        <v>34</v>
      </c>
      <c r="D146" s="103" t="s">
        <v>35</v>
      </c>
      <c r="E146" s="123" t="s">
        <v>521</v>
      </c>
      <c r="F146" s="44" t="s">
        <v>555</v>
      </c>
      <c r="G146" s="39" t="s">
        <v>29</v>
      </c>
      <c r="H146" s="39">
        <v>4600003028</v>
      </c>
      <c r="I146" s="64">
        <v>9719875000112</v>
      </c>
      <c r="J146" s="85" t="s">
        <v>562</v>
      </c>
      <c r="K146" s="101" t="s">
        <v>595</v>
      </c>
      <c r="L146" s="40">
        <v>46006</v>
      </c>
      <c r="M146" s="41" t="s">
        <v>155</v>
      </c>
      <c r="N146" s="38" t="s">
        <v>28</v>
      </c>
      <c r="O146" s="37" t="s">
        <v>29</v>
      </c>
      <c r="P146" s="39" t="s">
        <v>10</v>
      </c>
      <c r="Q146" s="37" t="s">
        <v>29</v>
      </c>
      <c r="R146" s="43" t="s">
        <v>26</v>
      </c>
      <c r="S146" s="50" t="s">
        <v>29</v>
      </c>
      <c r="T146" s="51" t="s">
        <v>26</v>
      </c>
      <c r="U146" s="37" t="s">
        <v>31</v>
      </c>
      <c r="V146" s="43">
        <v>6.2</v>
      </c>
      <c r="W146" s="43" t="s">
        <v>26</v>
      </c>
      <c r="X146" s="37" t="s">
        <v>31</v>
      </c>
      <c r="Y146" s="39" t="s">
        <v>156</v>
      </c>
      <c r="Z146" s="44" t="s">
        <v>157</v>
      </c>
      <c r="AA146" s="39" t="s">
        <v>31</v>
      </c>
      <c r="AB146" s="118">
        <v>45658</v>
      </c>
    </row>
    <row r="147" spans="1:54" ht="30" hidden="1" x14ac:dyDescent="0.25">
      <c r="B147" s="82" t="s">
        <v>276</v>
      </c>
      <c r="C147" s="37" t="s">
        <v>34</v>
      </c>
      <c r="D147" s="103" t="s">
        <v>35</v>
      </c>
      <c r="E147" s="123" t="s">
        <v>521</v>
      </c>
      <c r="F147" s="44" t="s">
        <v>555</v>
      </c>
      <c r="G147" s="39" t="s">
        <v>29</v>
      </c>
      <c r="H147" s="39">
        <v>4600002907</v>
      </c>
      <c r="I147" s="64">
        <v>48861566000134</v>
      </c>
      <c r="J147" s="85" t="s">
        <v>553</v>
      </c>
      <c r="K147" s="101" t="s">
        <v>400</v>
      </c>
      <c r="L147" s="40">
        <v>45750</v>
      </c>
      <c r="M147" s="49" t="s">
        <v>152</v>
      </c>
      <c r="N147" s="38" t="s">
        <v>61</v>
      </c>
      <c r="O147" s="37" t="s">
        <v>31</v>
      </c>
      <c r="P147" s="39" t="s">
        <v>294</v>
      </c>
      <c r="Q147" s="37" t="s">
        <v>29</v>
      </c>
      <c r="R147" s="43" t="s">
        <v>26</v>
      </c>
      <c r="S147" s="37" t="s">
        <v>29</v>
      </c>
      <c r="T147" s="40" t="s">
        <v>26</v>
      </c>
      <c r="U147" s="37" t="s">
        <v>31</v>
      </c>
      <c r="V147" s="43">
        <v>10.199999999999999</v>
      </c>
      <c r="W147" s="43">
        <v>30</v>
      </c>
      <c r="X147" s="37" t="s">
        <v>29</v>
      </c>
      <c r="Y147" s="39" t="s">
        <v>26</v>
      </c>
      <c r="Z147" s="44"/>
      <c r="AA147" s="39" t="s">
        <v>31</v>
      </c>
      <c r="AB147" s="118">
        <v>45658</v>
      </c>
    </row>
    <row r="148" spans="1:54" ht="24.75" hidden="1" customHeight="1" x14ac:dyDescent="0.25">
      <c r="B148" s="82" t="s">
        <v>276</v>
      </c>
      <c r="C148" s="37" t="s">
        <v>34</v>
      </c>
      <c r="D148" s="103" t="s">
        <v>35</v>
      </c>
      <c r="E148" s="123" t="s">
        <v>521</v>
      </c>
      <c r="F148" s="44" t="s">
        <v>555</v>
      </c>
      <c r="G148" s="39" t="s">
        <v>29</v>
      </c>
      <c r="H148" s="39">
        <v>4600002965</v>
      </c>
      <c r="I148" s="64">
        <v>23412247000110</v>
      </c>
      <c r="J148" s="85" t="s">
        <v>562</v>
      </c>
      <c r="K148" s="101" t="s">
        <v>411</v>
      </c>
      <c r="L148" s="40">
        <v>46022</v>
      </c>
      <c r="M148" s="49" t="s">
        <v>562</v>
      </c>
      <c r="N148" s="38" t="s">
        <v>61</v>
      </c>
      <c r="O148" s="37" t="s">
        <v>29</v>
      </c>
      <c r="P148" s="39" t="s">
        <v>10</v>
      </c>
      <c r="Q148" s="37" t="s">
        <v>31</v>
      </c>
      <c r="R148" s="43">
        <v>10.1</v>
      </c>
      <c r="S148" s="37" t="s">
        <v>31</v>
      </c>
      <c r="T148" s="40"/>
      <c r="U148" s="37" t="s">
        <v>31</v>
      </c>
      <c r="V148" s="43" t="s">
        <v>107</v>
      </c>
      <c r="W148" s="43" t="s">
        <v>26</v>
      </c>
      <c r="X148" s="37" t="s">
        <v>29</v>
      </c>
      <c r="Y148" s="39" t="s">
        <v>26</v>
      </c>
      <c r="Z148" s="44"/>
      <c r="AA148" s="39" t="s">
        <v>31</v>
      </c>
      <c r="AB148" s="118">
        <v>45658</v>
      </c>
    </row>
    <row r="149" spans="1:54" ht="30" hidden="1" x14ac:dyDescent="0.25">
      <c r="B149" s="82" t="s">
        <v>276</v>
      </c>
      <c r="C149" s="37" t="s">
        <v>419</v>
      </c>
      <c r="D149" s="103" t="s">
        <v>461</v>
      </c>
      <c r="E149" s="124" t="s">
        <v>271</v>
      </c>
      <c r="F149" s="44" t="s">
        <v>417</v>
      </c>
      <c r="G149" s="44" t="s">
        <v>29</v>
      </c>
      <c r="H149" s="39">
        <v>4600002829</v>
      </c>
      <c r="I149" s="64">
        <v>4179120000159</v>
      </c>
      <c r="J149" s="85" t="s">
        <v>552</v>
      </c>
      <c r="K149" s="101" t="s">
        <v>323</v>
      </c>
      <c r="L149" s="40">
        <v>46369</v>
      </c>
      <c r="M149" s="41" t="s">
        <v>136</v>
      </c>
      <c r="N149" s="38" t="s">
        <v>66</v>
      </c>
      <c r="O149" s="37" t="s">
        <v>31</v>
      </c>
      <c r="P149" s="39" t="s">
        <v>294</v>
      </c>
      <c r="Q149" s="37" t="s">
        <v>29</v>
      </c>
      <c r="R149" s="43" t="s">
        <v>26</v>
      </c>
      <c r="S149" s="37" t="s">
        <v>29</v>
      </c>
      <c r="T149" s="40" t="s">
        <v>26</v>
      </c>
      <c r="U149" s="37" t="s">
        <v>31</v>
      </c>
      <c r="V149" s="43">
        <v>10.199999999999999</v>
      </c>
      <c r="W149" s="43">
        <v>30</v>
      </c>
      <c r="X149" s="37" t="s">
        <v>29</v>
      </c>
      <c r="Y149" s="39" t="s">
        <v>26</v>
      </c>
      <c r="Z149" s="44"/>
      <c r="AA149" s="39" t="s">
        <v>31</v>
      </c>
      <c r="AB149" s="118">
        <v>45658</v>
      </c>
    </row>
    <row r="150" spans="1:54" ht="30" hidden="1" x14ac:dyDescent="0.25">
      <c r="B150" s="82" t="s">
        <v>276</v>
      </c>
      <c r="C150" s="37" t="s">
        <v>419</v>
      </c>
      <c r="D150" s="103" t="s">
        <v>461</v>
      </c>
      <c r="E150" s="124" t="s">
        <v>269</v>
      </c>
      <c r="F150" s="44" t="s">
        <v>418</v>
      </c>
      <c r="G150" s="44" t="s">
        <v>29</v>
      </c>
      <c r="H150" s="39">
        <v>4600002918</v>
      </c>
      <c r="I150" s="64">
        <v>6246289000100</v>
      </c>
      <c r="J150" s="85" t="s">
        <v>571</v>
      </c>
      <c r="K150" s="101" t="s">
        <v>336</v>
      </c>
      <c r="L150" s="40">
        <v>46173</v>
      </c>
      <c r="M150" s="49" t="s">
        <v>530</v>
      </c>
      <c r="N150" s="38" t="s">
        <v>61</v>
      </c>
      <c r="O150" s="37" t="s">
        <v>31</v>
      </c>
      <c r="P150" s="39" t="s">
        <v>294</v>
      </c>
      <c r="Q150" s="37" t="s">
        <v>29</v>
      </c>
      <c r="R150" s="43" t="s">
        <v>26</v>
      </c>
      <c r="S150" s="37" t="s">
        <v>29</v>
      </c>
      <c r="T150" s="40" t="s">
        <v>26</v>
      </c>
      <c r="U150" s="37" t="s">
        <v>31</v>
      </c>
      <c r="V150" s="43">
        <v>9.1999999999999993</v>
      </c>
      <c r="W150" s="43">
        <v>30</v>
      </c>
      <c r="X150" s="37" t="s">
        <v>29</v>
      </c>
      <c r="Y150" s="39" t="s">
        <v>26</v>
      </c>
      <c r="Z150" s="44"/>
      <c r="AA150" s="39" t="s">
        <v>31</v>
      </c>
      <c r="AB150" s="118">
        <v>45658</v>
      </c>
    </row>
    <row r="151" spans="1:54" ht="45" hidden="1" x14ac:dyDescent="0.25">
      <c r="B151" s="82" t="s">
        <v>276</v>
      </c>
      <c r="C151" s="37" t="s">
        <v>159</v>
      </c>
      <c r="D151" s="103" t="s">
        <v>129</v>
      </c>
      <c r="E151" s="123" t="s">
        <v>521</v>
      </c>
      <c r="F151" s="44" t="s">
        <v>523</v>
      </c>
      <c r="G151" s="39" t="s">
        <v>29</v>
      </c>
      <c r="H151" s="39" t="s">
        <v>26</v>
      </c>
      <c r="I151" s="64" t="s">
        <v>290</v>
      </c>
      <c r="J151" s="85" t="s">
        <v>511</v>
      </c>
      <c r="K151" s="115" t="s">
        <v>292</v>
      </c>
      <c r="L151" s="40" t="s">
        <v>259</v>
      </c>
      <c r="M151" s="56" t="s">
        <v>258</v>
      </c>
      <c r="N151" s="39" t="s">
        <v>28</v>
      </c>
      <c r="O151" s="37"/>
      <c r="P151" s="39" t="s">
        <v>294</v>
      </c>
      <c r="Q151" s="37"/>
      <c r="R151" s="43"/>
      <c r="S151" s="37"/>
      <c r="T151" s="40"/>
      <c r="U151" s="37"/>
      <c r="V151" s="43"/>
      <c r="W151" s="43"/>
      <c r="X151" s="37"/>
      <c r="Y151" s="39"/>
      <c r="Z151" s="44"/>
      <c r="AA151" s="39" t="s">
        <v>31</v>
      </c>
      <c r="AB151" s="118">
        <v>45717</v>
      </c>
    </row>
    <row r="152" spans="1:54" s="17" customFormat="1" ht="45" hidden="1" x14ac:dyDescent="0.25">
      <c r="A152" s="1"/>
      <c r="B152" s="82" t="s">
        <v>276</v>
      </c>
      <c r="C152" s="37" t="s">
        <v>164</v>
      </c>
      <c r="D152" s="103" t="s">
        <v>165</v>
      </c>
      <c r="E152" s="124" t="s">
        <v>269</v>
      </c>
      <c r="F152" s="44" t="s">
        <v>584</v>
      </c>
      <c r="G152" s="44" t="s">
        <v>29</v>
      </c>
      <c r="H152" s="39">
        <v>4600003033</v>
      </c>
      <c r="I152" s="73">
        <v>7891015000136</v>
      </c>
      <c r="J152" s="85" t="s">
        <v>553</v>
      </c>
      <c r="K152" s="115" t="s">
        <v>226</v>
      </c>
      <c r="L152" s="40">
        <v>46024</v>
      </c>
      <c r="M152" s="45" t="s">
        <v>227</v>
      </c>
      <c r="N152" s="38" t="s">
        <v>73</v>
      </c>
      <c r="O152" s="37" t="s">
        <v>31</v>
      </c>
      <c r="P152" s="39" t="s">
        <v>294</v>
      </c>
      <c r="Q152" s="37" t="s">
        <v>29</v>
      </c>
      <c r="R152" s="43" t="s">
        <v>26</v>
      </c>
      <c r="S152" s="37" t="s">
        <v>29</v>
      </c>
      <c r="T152" s="40" t="s">
        <v>26</v>
      </c>
      <c r="U152" s="37" t="s">
        <v>31</v>
      </c>
      <c r="V152" s="43" t="s">
        <v>228</v>
      </c>
      <c r="W152" s="43">
        <v>15</v>
      </c>
      <c r="X152" s="37" t="s">
        <v>29</v>
      </c>
      <c r="Y152" s="39" t="s">
        <v>26</v>
      </c>
      <c r="Z152" s="44"/>
      <c r="AA152" s="39" t="s">
        <v>31</v>
      </c>
      <c r="AB152" s="118">
        <v>45717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30" hidden="1" x14ac:dyDescent="0.25">
      <c r="B153" s="82" t="s">
        <v>276</v>
      </c>
      <c r="C153" s="37" t="s">
        <v>34</v>
      </c>
      <c r="D153" s="103" t="s">
        <v>567</v>
      </c>
      <c r="E153" s="123" t="s">
        <v>521</v>
      </c>
      <c r="F153" s="44" t="s">
        <v>555</v>
      </c>
      <c r="G153" s="39" t="s">
        <v>29</v>
      </c>
      <c r="H153" s="39" t="s">
        <v>239</v>
      </c>
      <c r="I153" s="64">
        <v>7886223000147</v>
      </c>
      <c r="J153" s="85" t="s">
        <v>552</v>
      </c>
      <c r="K153" s="115" t="s">
        <v>465</v>
      </c>
      <c r="L153" s="40" t="s">
        <v>47</v>
      </c>
      <c r="M153" s="41" t="s">
        <v>472</v>
      </c>
      <c r="N153" s="38" t="s">
        <v>34</v>
      </c>
      <c r="O153" s="37"/>
      <c r="P153" s="39"/>
      <c r="Q153" s="37"/>
      <c r="R153" s="43"/>
      <c r="S153" s="37"/>
      <c r="T153" s="40"/>
      <c r="U153" s="37"/>
      <c r="V153" s="43"/>
      <c r="W153" s="43"/>
      <c r="X153" s="37"/>
      <c r="Y153" s="39"/>
      <c r="Z153" s="44" t="s">
        <v>596</v>
      </c>
      <c r="AA153" s="39" t="s">
        <v>31</v>
      </c>
      <c r="AB153" s="118">
        <v>45717</v>
      </c>
    </row>
    <row r="154" spans="1:54" s="17" customFormat="1" ht="30" x14ac:dyDescent="0.25">
      <c r="A154" s="1"/>
      <c r="B154" s="82" t="s">
        <v>276</v>
      </c>
      <c r="C154" s="37" t="s">
        <v>25</v>
      </c>
      <c r="D154" s="103" t="s">
        <v>426</v>
      </c>
      <c r="E154" s="124" t="s">
        <v>271</v>
      </c>
      <c r="F154" s="44" t="s">
        <v>533</v>
      </c>
      <c r="G154" s="39" t="s">
        <v>31</v>
      </c>
      <c r="H154" s="39">
        <v>4600002295</v>
      </c>
      <c r="I154" s="64">
        <v>74333246000111</v>
      </c>
      <c r="J154" s="85" t="s">
        <v>552</v>
      </c>
      <c r="K154" s="101" t="s">
        <v>301</v>
      </c>
      <c r="L154" s="40" t="s">
        <v>235</v>
      </c>
      <c r="M154" s="49" t="s">
        <v>122</v>
      </c>
      <c r="N154" s="38" t="s">
        <v>61</v>
      </c>
      <c r="O154" s="37" t="s">
        <v>31</v>
      </c>
      <c r="P154" s="39" t="s">
        <v>294</v>
      </c>
      <c r="Q154" s="37" t="s">
        <v>29</v>
      </c>
      <c r="R154" s="43" t="s">
        <v>26</v>
      </c>
      <c r="S154" s="37" t="s">
        <v>29</v>
      </c>
      <c r="T154" s="40" t="s">
        <v>26</v>
      </c>
      <c r="U154" s="37" t="s">
        <v>31</v>
      </c>
      <c r="V154" s="43">
        <v>11.2</v>
      </c>
      <c r="W154" s="43">
        <v>30</v>
      </c>
      <c r="X154" s="37" t="s">
        <v>29</v>
      </c>
      <c r="Y154" s="39" t="s">
        <v>26</v>
      </c>
      <c r="Z154" s="44" t="s">
        <v>123</v>
      </c>
      <c r="AA154" s="39" t="s">
        <v>31</v>
      </c>
      <c r="AB154" s="118">
        <v>45658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30" hidden="1" x14ac:dyDescent="0.25">
      <c r="B155" s="82" t="s">
        <v>276</v>
      </c>
      <c r="C155" s="37" t="s">
        <v>34</v>
      </c>
      <c r="D155" s="103" t="s">
        <v>567</v>
      </c>
      <c r="E155" s="123" t="s">
        <v>521</v>
      </c>
      <c r="F155" s="44" t="s">
        <v>559</v>
      </c>
      <c r="G155" s="39" t="s">
        <v>29</v>
      </c>
      <c r="H155" s="39" t="s">
        <v>239</v>
      </c>
      <c r="I155" s="112">
        <v>2700076</v>
      </c>
      <c r="J155" s="85" t="s">
        <v>552</v>
      </c>
      <c r="K155" s="115" t="s">
        <v>464</v>
      </c>
      <c r="L155" s="40" t="s">
        <v>47</v>
      </c>
      <c r="M155" s="41" t="s">
        <v>471</v>
      </c>
      <c r="N155" s="38" t="s">
        <v>34</v>
      </c>
      <c r="O155" s="37"/>
      <c r="P155" s="39"/>
      <c r="Q155" s="37"/>
      <c r="R155" s="43"/>
      <c r="S155" s="37"/>
      <c r="T155" s="40"/>
      <c r="U155" s="37"/>
      <c r="V155" s="43"/>
      <c r="W155" s="43"/>
      <c r="X155" s="37"/>
      <c r="Y155" s="39"/>
      <c r="Z155" s="44" t="s">
        <v>591</v>
      </c>
      <c r="AA155" s="39" t="s">
        <v>31</v>
      </c>
      <c r="AB155" s="118">
        <v>45717</v>
      </c>
    </row>
    <row r="156" spans="1:54" ht="30" hidden="1" x14ac:dyDescent="0.25">
      <c r="B156" s="82" t="s">
        <v>276</v>
      </c>
      <c r="C156" s="37" t="s">
        <v>70</v>
      </c>
      <c r="D156" s="103" t="s">
        <v>71</v>
      </c>
      <c r="E156" s="123" t="s">
        <v>268</v>
      </c>
      <c r="F156" s="44" t="s">
        <v>425</v>
      </c>
      <c r="G156" s="44" t="s">
        <v>29</v>
      </c>
      <c r="H156" s="39" t="s">
        <v>26</v>
      </c>
      <c r="I156" s="73">
        <v>13444227000178</v>
      </c>
      <c r="J156" s="85" t="s">
        <v>516</v>
      </c>
      <c r="K156" s="115" t="s">
        <v>222</v>
      </c>
      <c r="L156" s="40">
        <v>45730</v>
      </c>
      <c r="M156" s="45" t="s">
        <v>223</v>
      </c>
      <c r="N156" s="38" t="s">
        <v>28</v>
      </c>
      <c r="O156" s="37" t="s">
        <v>31</v>
      </c>
      <c r="P156" s="39" t="s">
        <v>294</v>
      </c>
      <c r="Q156" s="37" t="s">
        <v>29</v>
      </c>
      <c r="R156" s="43" t="s">
        <v>26</v>
      </c>
      <c r="S156" s="37" t="s">
        <v>29</v>
      </c>
      <c r="T156" s="40" t="s">
        <v>26</v>
      </c>
      <c r="U156" s="37" t="s">
        <v>31</v>
      </c>
      <c r="V156" s="43" t="s">
        <v>221</v>
      </c>
      <c r="W156" s="43" t="s">
        <v>26</v>
      </c>
      <c r="X156" s="37" t="s">
        <v>29</v>
      </c>
      <c r="Y156" s="39" t="s">
        <v>26</v>
      </c>
      <c r="Z156" s="44"/>
      <c r="AA156" s="39" t="s">
        <v>31</v>
      </c>
      <c r="AB156" s="118">
        <v>45717</v>
      </c>
    </row>
    <row r="157" spans="1:54" ht="26.25" hidden="1" customHeight="1" x14ac:dyDescent="0.25">
      <c r="B157" s="82" t="s">
        <v>276</v>
      </c>
      <c r="C157" s="37" t="s">
        <v>25</v>
      </c>
      <c r="D157" s="103" t="s">
        <v>439</v>
      </c>
      <c r="E157" s="124" t="s">
        <v>269</v>
      </c>
      <c r="F157" s="44" t="s">
        <v>449</v>
      </c>
      <c r="G157" s="39" t="s">
        <v>29</v>
      </c>
      <c r="H157" s="39" t="s">
        <v>26</v>
      </c>
      <c r="I157" s="73">
        <v>61585865000151</v>
      </c>
      <c r="J157" s="85" t="s">
        <v>513</v>
      </c>
      <c r="K157" s="115" t="s">
        <v>50</v>
      </c>
      <c r="L157" s="46">
        <v>45922</v>
      </c>
      <c r="M157" s="47" t="s">
        <v>51</v>
      </c>
      <c r="N157" s="37" t="s">
        <v>25</v>
      </c>
      <c r="O157" s="37"/>
      <c r="P157" s="39" t="s">
        <v>294</v>
      </c>
      <c r="Q157" s="37"/>
      <c r="R157" s="43"/>
      <c r="S157" s="37"/>
      <c r="T157" s="40"/>
      <c r="U157" s="37"/>
      <c r="V157" s="43"/>
      <c r="W157" s="43"/>
      <c r="X157" s="37"/>
      <c r="Y157" s="39"/>
      <c r="Z157" s="44"/>
      <c r="AA157" s="39" t="s">
        <v>31</v>
      </c>
      <c r="AB157" s="118">
        <v>45717</v>
      </c>
    </row>
    <row r="158" spans="1:54" ht="45" hidden="1" x14ac:dyDescent="0.25">
      <c r="B158" s="82" t="s">
        <v>276</v>
      </c>
      <c r="C158" s="37" t="s">
        <v>25</v>
      </c>
      <c r="D158" s="103" t="s">
        <v>439</v>
      </c>
      <c r="E158" s="123" t="s">
        <v>268</v>
      </c>
      <c r="F158" s="44"/>
      <c r="G158" s="44"/>
      <c r="H158" s="39">
        <v>4600002966</v>
      </c>
      <c r="I158" s="64">
        <v>32419365000141</v>
      </c>
      <c r="J158" s="85" t="s">
        <v>552</v>
      </c>
      <c r="K158" s="101" t="s">
        <v>385</v>
      </c>
      <c r="L158" s="40">
        <v>45716</v>
      </c>
      <c r="M158" s="49" t="s">
        <v>213</v>
      </c>
      <c r="N158" s="38" t="s">
        <v>61</v>
      </c>
      <c r="O158" s="37" t="s">
        <v>31</v>
      </c>
      <c r="P158" s="39" t="s">
        <v>294</v>
      </c>
      <c r="Q158" s="37" t="s">
        <v>29</v>
      </c>
      <c r="R158" s="43" t="s">
        <v>26</v>
      </c>
      <c r="S158" s="50" t="s">
        <v>29</v>
      </c>
      <c r="T158" s="51" t="s">
        <v>26</v>
      </c>
      <c r="U158" s="37" t="s">
        <v>209</v>
      </c>
      <c r="V158" s="43">
        <v>10.199999999999999</v>
      </c>
      <c r="W158" s="43">
        <v>30</v>
      </c>
      <c r="X158" s="37" t="s">
        <v>29</v>
      </c>
      <c r="Y158" s="39" t="s">
        <v>26</v>
      </c>
      <c r="Z158" s="44"/>
      <c r="AA158" s="39" t="s">
        <v>31</v>
      </c>
      <c r="AB158" s="118">
        <v>45658</v>
      </c>
    </row>
    <row r="159" spans="1:54" ht="30" x14ac:dyDescent="0.25">
      <c r="B159" s="82" t="s">
        <v>276</v>
      </c>
      <c r="C159" s="37" t="s">
        <v>25</v>
      </c>
      <c r="D159" s="103" t="s">
        <v>439</v>
      </c>
      <c r="E159" s="124" t="s">
        <v>269</v>
      </c>
      <c r="F159" s="44"/>
      <c r="G159" s="39" t="s">
        <v>31</v>
      </c>
      <c r="H159" s="39">
        <v>4600002701</v>
      </c>
      <c r="I159" s="64">
        <v>7131392000177</v>
      </c>
      <c r="J159" s="85" t="s">
        <v>552</v>
      </c>
      <c r="K159" s="101" t="s">
        <v>338</v>
      </c>
      <c r="L159" s="40">
        <v>46022</v>
      </c>
      <c r="M159" s="49" t="s">
        <v>105</v>
      </c>
      <c r="N159" s="38" t="s">
        <v>61</v>
      </c>
      <c r="O159" s="37" t="s">
        <v>31</v>
      </c>
      <c r="P159" s="39" t="s">
        <v>294</v>
      </c>
      <c r="Q159" s="37" t="s">
        <v>29</v>
      </c>
      <c r="R159" s="43" t="s">
        <v>26</v>
      </c>
      <c r="S159" s="37" t="s">
        <v>29</v>
      </c>
      <c r="T159" s="40" t="s">
        <v>26</v>
      </c>
      <c r="U159" s="37" t="s">
        <v>31</v>
      </c>
      <c r="V159" s="43">
        <v>10.199999999999999</v>
      </c>
      <c r="W159" s="43">
        <v>30</v>
      </c>
      <c r="X159" s="37" t="s">
        <v>29</v>
      </c>
      <c r="Y159" s="39" t="s">
        <v>26</v>
      </c>
      <c r="Z159" s="44"/>
      <c r="AA159" s="39" t="s">
        <v>31</v>
      </c>
      <c r="AB159" s="118">
        <v>45658</v>
      </c>
      <c r="AE159" s="69"/>
      <c r="AF159" s="69"/>
      <c r="AI159" s="69"/>
      <c r="AJ159" s="69"/>
      <c r="AN159" s="69"/>
      <c r="AO159" s="69"/>
      <c r="AP159" s="69"/>
    </row>
    <row r="160" spans="1:54" ht="30" hidden="1" x14ac:dyDescent="0.25">
      <c r="B160" s="82" t="s">
        <v>276</v>
      </c>
      <c r="C160" s="37" t="s">
        <v>25</v>
      </c>
      <c r="D160" s="103" t="s">
        <v>439</v>
      </c>
      <c r="E160" s="123" t="s">
        <v>271</v>
      </c>
      <c r="F160" s="44" t="s">
        <v>447</v>
      </c>
      <c r="G160" s="39" t="s">
        <v>29</v>
      </c>
      <c r="H160" s="39">
        <v>4600002773</v>
      </c>
      <c r="I160" s="64">
        <v>17658984000286</v>
      </c>
      <c r="J160" s="85" t="s">
        <v>553</v>
      </c>
      <c r="K160" s="101" t="s">
        <v>356</v>
      </c>
      <c r="L160" s="40">
        <v>45692</v>
      </c>
      <c r="M160" s="49" t="s">
        <v>161</v>
      </c>
      <c r="N160" s="38" t="s">
        <v>61</v>
      </c>
      <c r="O160" s="37" t="s">
        <v>31</v>
      </c>
      <c r="P160" s="39" t="s">
        <v>294</v>
      </c>
      <c r="Q160" s="37" t="s">
        <v>29</v>
      </c>
      <c r="R160" s="43" t="s">
        <v>26</v>
      </c>
      <c r="S160" s="37" t="s">
        <v>29</v>
      </c>
      <c r="T160" s="40" t="s">
        <v>26</v>
      </c>
      <c r="U160" s="37" t="s">
        <v>31</v>
      </c>
      <c r="V160" s="43">
        <v>10.199999999999999</v>
      </c>
      <c r="W160" s="43">
        <v>30</v>
      </c>
      <c r="X160" s="37" t="s">
        <v>29</v>
      </c>
      <c r="Y160" s="39" t="s">
        <v>26</v>
      </c>
      <c r="Z160" s="44"/>
      <c r="AA160" s="39" t="s">
        <v>31</v>
      </c>
      <c r="AB160" s="118">
        <v>45658</v>
      </c>
    </row>
    <row r="161" spans="1:54" ht="45" x14ac:dyDescent="0.25">
      <c r="B161" s="82" t="s">
        <v>276</v>
      </c>
      <c r="C161" s="37" t="s">
        <v>25</v>
      </c>
      <c r="D161" s="103" t="s">
        <v>439</v>
      </c>
      <c r="E161" s="124" t="s">
        <v>269</v>
      </c>
      <c r="F161" s="44"/>
      <c r="G161" s="39" t="s">
        <v>31</v>
      </c>
      <c r="H161" s="39">
        <v>4600003005</v>
      </c>
      <c r="I161" s="64">
        <v>27696922000131</v>
      </c>
      <c r="J161" s="85" t="s">
        <v>508</v>
      </c>
      <c r="K161" s="101" t="s">
        <v>551</v>
      </c>
      <c r="L161" s="40">
        <v>45922</v>
      </c>
      <c r="M161" s="41" t="s">
        <v>581</v>
      </c>
      <c r="N161" s="38" t="s">
        <v>61</v>
      </c>
      <c r="O161" s="37" t="s">
        <v>29</v>
      </c>
      <c r="P161" s="39" t="s">
        <v>10</v>
      </c>
      <c r="Q161" s="37" t="s">
        <v>29</v>
      </c>
      <c r="R161" s="43" t="s">
        <v>26</v>
      </c>
      <c r="S161" s="50" t="s">
        <v>29</v>
      </c>
      <c r="T161" s="51" t="s">
        <v>26</v>
      </c>
      <c r="U161" s="37" t="s">
        <v>31</v>
      </c>
      <c r="V161" s="43">
        <v>3.1</v>
      </c>
      <c r="W161" s="43">
        <v>30</v>
      </c>
      <c r="X161" s="37" t="s">
        <v>31</v>
      </c>
      <c r="Y161" s="39" t="s">
        <v>32</v>
      </c>
      <c r="Z161" s="44" t="s">
        <v>185</v>
      </c>
      <c r="AA161" s="39" t="s">
        <v>31</v>
      </c>
      <c r="AB161" s="118">
        <v>45658</v>
      </c>
    </row>
    <row r="162" spans="1:54" s="17" customFormat="1" ht="30" x14ac:dyDescent="0.25">
      <c r="A162" s="1"/>
      <c r="B162" s="82" t="s">
        <v>276</v>
      </c>
      <c r="C162" s="37" t="s">
        <v>25</v>
      </c>
      <c r="D162" s="103" t="s">
        <v>439</v>
      </c>
      <c r="E162" s="124" t="s">
        <v>269</v>
      </c>
      <c r="F162" s="44"/>
      <c r="G162" s="39" t="s">
        <v>31</v>
      </c>
      <c r="H162" s="39" t="s">
        <v>587</v>
      </c>
      <c r="I162" s="73">
        <v>31925548000176</v>
      </c>
      <c r="J162" s="85" t="s">
        <v>508</v>
      </c>
      <c r="K162" s="101" t="s">
        <v>547</v>
      </c>
      <c r="L162" s="40">
        <v>46326</v>
      </c>
      <c r="M162" s="41" t="s">
        <v>27</v>
      </c>
      <c r="N162" s="38" t="s">
        <v>28</v>
      </c>
      <c r="O162" s="37" t="s">
        <v>29</v>
      </c>
      <c r="P162" s="39" t="s">
        <v>10</v>
      </c>
      <c r="Q162" s="42" t="s">
        <v>30</v>
      </c>
      <c r="R162" s="42"/>
      <c r="S162" s="42"/>
      <c r="T162" s="42"/>
      <c r="U162" s="37" t="s">
        <v>31</v>
      </c>
      <c r="V162" s="43">
        <v>4</v>
      </c>
      <c r="W162" s="43" t="s">
        <v>26</v>
      </c>
      <c r="X162" s="37" t="s">
        <v>31</v>
      </c>
      <c r="Y162" s="39" t="s">
        <v>32</v>
      </c>
      <c r="Z162" s="44" t="s">
        <v>33</v>
      </c>
      <c r="AA162" s="39" t="s">
        <v>31</v>
      </c>
      <c r="AB162" s="118">
        <v>45658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60" hidden="1" x14ac:dyDescent="0.25">
      <c r="B163" s="82" t="s">
        <v>276</v>
      </c>
      <c r="C163" s="37" t="s">
        <v>25</v>
      </c>
      <c r="D163" s="103" t="s">
        <v>439</v>
      </c>
      <c r="E163" s="123" t="s">
        <v>271</v>
      </c>
      <c r="F163" s="44"/>
      <c r="G163" s="39" t="s">
        <v>29</v>
      </c>
      <c r="H163" s="39">
        <v>4600002715</v>
      </c>
      <c r="I163" s="64">
        <v>34028316000294</v>
      </c>
      <c r="J163" s="85" t="s">
        <v>582</v>
      </c>
      <c r="K163" s="101" t="s">
        <v>390</v>
      </c>
      <c r="L163" s="40">
        <v>48092</v>
      </c>
      <c r="M163" s="49" t="s">
        <v>81</v>
      </c>
      <c r="N163" s="38" t="s">
        <v>61</v>
      </c>
      <c r="O163" s="37" t="s">
        <v>29</v>
      </c>
      <c r="P163" s="39" t="s">
        <v>10</v>
      </c>
      <c r="Q163" s="37" t="s">
        <v>29</v>
      </c>
      <c r="R163" s="43" t="s">
        <v>26</v>
      </c>
      <c r="S163" s="50" t="s">
        <v>29</v>
      </c>
      <c r="T163" s="51" t="s">
        <v>26</v>
      </c>
      <c r="U163" s="37" t="s">
        <v>31</v>
      </c>
      <c r="V163" s="43" t="s">
        <v>82</v>
      </c>
      <c r="W163" s="43">
        <v>30</v>
      </c>
      <c r="X163" s="37" t="s">
        <v>31</v>
      </c>
      <c r="Y163" s="39" t="s">
        <v>32</v>
      </c>
      <c r="Z163" s="44" t="s">
        <v>83</v>
      </c>
      <c r="AA163" s="39" t="s">
        <v>31</v>
      </c>
      <c r="AB163" s="118">
        <v>45658</v>
      </c>
    </row>
    <row r="164" spans="1:54" ht="30" hidden="1" x14ac:dyDescent="0.25">
      <c r="B164" s="82" t="s">
        <v>276</v>
      </c>
      <c r="C164" s="37" t="s">
        <v>25</v>
      </c>
      <c r="D164" s="103" t="s">
        <v>439</v>
      </c>
      <c r="E164" s="124" t="s">
        <v>269</v>
      </c>
      <c r="F164" s="44" t="s">
        <v>446</v>
      </c>
      <c r="G164" s="39" t="s">
        <v>29</v>
      </c>
      <c r="H164" s="39">
        <v>4600002287</v>
      </c>
      <c r="I164" s="64">
        <v>7930849000103</v>
      </c>
      <c r="J164" s="85" t="s">
        <v>553</v>
      </c>
      <c r="K164" s="101" t="s">
        <v>343</v>
      </c>
      <c r="L164" s="40">
        <v>46022</v>
      </c>
      <c r="M164" s="49" t="s">
        <v>111</v>
      </c>
      <c r="N164" s="38" t="s">
        <v>61</v>
      </c>
      <c r="O164" s="37" t="s">
        <v>31</v>
      </c>
      <c r="P164" s="39" t="s">
        <v>294</v>
      </c>
      <c r="Q164" s="37" t="s">
        <v>29</v>
      </c>
      <c r="R164" s="43" t="s">
        <v>26</v>
      </c>
      <c r="S164" s="37" t="s">
        <v>29</v>
      </c>
      <c r="T164" s="40" t="s">
        <v>26</v>
      </c>
      <c r="U164" s="37" t="s">
        <v>31</v>
      </c>
      <c r="V164" s="43">
        <v>10.199999999999999</v>
      </c>
      <c r="W164" s="43">
        <v>60</v>
      </c>
      <c r="X164" s="37" t="s">
        <v>29</v>
      </c>
      <c r="Y164" s="39" t="s">
        <v>26</v>
      </c>
      <c r="Z164" s="44"/>
      <c r="AA164" s="39" t="s">
        <v>31</v>
      </c>
      <c r="AB164" s="118">
        <v>45658</v>
      </c>
    </row>
    <row r="165" spans="1:54" ht="30" hidden="1" x14ac:dyDescent="0.25">
      <c r="B165" s="82" t="s">
        <v>276</v>
      </c>
      <c r="C165" s="37" t="s">
        <v>70</v>
      </c>
      <c r="D165" s="103" t="s">
        <v>71</v>
      </c>
      <c r="E165" s="124" t="s">
        <v>269</v>
      </c>
      <c r="F165" s="44" t="s">
        <v>420</v>
      </c>
      <c r="G165" s="44" t="s">
        <v>29</v>
      </c>
      <c r="H165" s="39">
        <v>4600002952</v>
      </c>
      <c r="I165" s="64">
        <v>32729367000137</v>
      </c>
      <c r="J165" s="85" t="s">
        <v>552</v>
      </c>
      <c r="K165" s="101" t="s">
        <v>386</v>
      </c>
      <c r="L165" s="40" t="s">
        <v>235</v>
      </c>
      <c r="M165" s="41" t="s">
        <v>190</v>
      </c>
      <c r="N165" s="38" t="s">
        <v>73</v>
      </c>
      <c r="O165" s="37" t="s">
        <v>29</v>
      </c>
      <c r="P165" s="39" t="s">
        <v>10</v>
      </c>
      <c r="Q165" s="37" t="s">
        <v>29</v>
      </c>
      <c r="R165" s="43" t="s">
        <v>26</v>
      </c>
      <c r="S165" s="37" t="s">
        <v>29</v>
      </c>
      <c r="T165" s="40" t="s">
        <v>26</v>
      </c>
      <c r="U165" s="37" t="s">
        <v>31</v>
      </c>
      <c r="V165" s="43">
        <v>14.1</v>
      </c>
      <c r="W165" s="43">
        <v>30</v>
      </c>
      <c r="X165" s="37" t="s">
        <v>29</v>
      </c>
      <c r="Y165" s="39" t="s">
        <v>26</v>
      </c>
      <c r="Z165" s="44"/>
      <c r="AA165" s="39" t="s">
        <v>31</v>
      </c>
      <c r="AB165" s="118">
        <v>45658</v>
      </c>
    </row>
    <row r="166" spans="1:54" ht="30" hidden="1" x14ac:dyDescent="0.25">
      <c r="B166" s="82" t="s">
        <v>276</v>
      </c>
      <c r="C166" s="37" t="s">
        <v>34</v>
      </c>
      <c r="D166" s="103" t="s">
        <v>35</v>
      </c>
      <c r="E166" s="123" t="s">
        <v>269</v>
      </c>
      <c r="F166" s="44" t="s">
        <v>554</v>
      </c>
      <c r="G166" s="39" t="s">
        <v>29</v>
      </c>
      <c r="H166" s="39">
        <v>4600002937</v>
      </c>
      <c r="I166" s="64">
        <v>27339766000151</v>
      </c>
      <c r="J166" s="85" t="s">
        <v>569</v>
      </c>
      <c r="K166" s="101" t="s">
        <v>379</v>
      </c>
      <c r="L166" s="40" t="s">
        <v>235</v>
      </c>
      <c r="M166" s="49" t="s">
        <v>138</v>
      </c>
      <c r="N166" s="38" t="s">
        <v>61</v>
      </c>
      <c r="O166" s="37" t="s">
        <v>31</v>
      </c>
      <c r="P166" s="39" t="s">
        <v>294</v>
      </c>
      <c r="Q166" s="37" t="s">
        <v>29</v>
      </c>
      <c r="R166" s="43" t="s">
        <v>26</v>
      </c>
      <c r="S166" s="37" t="s">
        <v>29</v>
      </c>
      <c r="T166" s="40" t="s">
        <v>26</v>
      </c>
      <c r="U166" s="37" t="s">
        <v>31</v>
      </c>
      <c r="V166" s="43">
        <v>10.199999999999999</v>
      </c>
      <c r="W166" s="43">
        <v>30</v>
      </c>
      <c r="X166" s="37" t="s">
        <v>29</v>
      </c>
      <c r="Y166" s="39" t="s">
        <v>26</v>
      </c>
      <c r="Z166" s="44"/>
      <c r="AA166" s="39" t="s">
        <v>31</v>
      </c>
      <c r="AB166" s="118">
        <v>45658</v>
      </c>
    </row>
    <row r="167" spans="1:54" ht="30" hidden="1" x14ac:dyDescent="0.25">
      <c r="B167" s="82" t="s">
        <v>276</v>
      </c>
      <c r="C167" s="37" t="s">
        <v>25</v>
      </c>
      <c r="D167" s="103" t="s">
        <v>426</v>
      </c>
      <c r="E167" s="124" t="s">
        <v>269</v>
      </c>
      <c r="F167" s="44" t="s">
        <v>502</v>
      </c>
      <c r="G167" s="39" t="s">
        <v>29</v>
      </c>
      <c r="H167" s="39">
        <v>4600002390</v>
      </c>
      <c r="I167" s="70">
        <v>3775069008240</v>
      </c>
      <c r="J167" s="85" t="s">
        <v>575</v>
      </c>
      <c r="K167" s="101" t="s">
        <v>318</v>
      </c>
      <c r="L167" s="40" t="s">
        <v>235</v>
      </c>
      <c r="M167" s="49" t="s">
        <v>576</v>
      </c>
      <c r="N167" s="38" t="s">
        <v>61</v>
      </c>
      <c r="O167" s="37" t="s">
        <v>31</v>
      </c>
      <c r="P167" s="39" t="s">
        <v>294</v>
      </c>
      <c r="Q167" s="37" t="s">
        <v>29</v>
      </c>
      <c r="R167" s="43" t="s">
        <v>26</v>
      </c>
      <c r="S167" s="37" t="s">
        <v>29</v>
      </c>
      <c r="T167" s="40" t="s">
        <v>26</v>
      </c>
      <c r="U167" s="37" t="s">
        <v>31</v>
      </c>
      <c r="V167" s="43">
        <v>10.199999999999999</v>
      </c>
      <c r="W167" s="43">
        <v>60</v>
      </c>
      <c r="X167" s="37" t="s">
        <v>29</v>
      </c>
      <c r="Y167" s="39" t="s">
        <v>26</v>
      </c>
      <c r="Z167" s="44"/>
      <c r="AA167" s="39" t="s">
        <v>31</v>
      </c>
      <c r="AB167" s="118">
        <v>45658</v>
      </c>
    </row>
    <row r="168" spans="1:54" ht="30" hidden="1" x14ac:dyDescent="0.25">
      <c r="B168" s="82" t="s">
        <v>276</v>
      </c>
      <c r="C168" s="37" t="s">
        <v>70</v>
      </c>
      <c r="D168" s="103" t="s">
        <v>71</v>
      </c>
      <c r="E168" s="124" t="s">
        <v>269</v>
      </c>
      <c r="F168" s="44" t="s">
        <v>420</v>
      </c>
      <c r="G168" s="44" t="s">
        <v>29</v>
      </c>
      <c r="H168" s="39">
        <v>4600002338</v>
      </c>
      <c r="I168" s="64">
        <v>9302935000105</v>
      </c>
      <c r="J168" s="85" t="s">
        <v>478</v>
      </c>
      <c r="K168" s="101" t="s">
        <v>347</v>
      </c>
      <c r="L168" s="40">
        <v>45747</v>
      </c>
      <c r="M168" s="49" t="s">
        <v>90</v>
      </c>
      <c r="N168" s="38" t="s">
        <v>73</v>
      </c>
      <c r="O168" s="37" t="s">
        <v>31</v>
      </c>
      <c r="P168" s="39" t="s">
        <v>294</v>
      </c>
      <c r="Q168" s="37" t="s">
        <v>29</v>
      </c>
      <c r="R168" s="43" t="s">
        <v>26</v>
      </c>
      <c r="S168" s="37" t="s">
        <v>29</v>
      </c>
      <c r="T168" s="40" t="s">
        <v>26</v>
      </c>
      <c r="U168" s="37" t="s">
        <v>31</v>
      </c>
      <c r="V168" s="43">
        <v>11</v>
      </c>
      <c r="W168" s="43">
        <v>15</v>
      </c>
      <c r="X168" s="37" t="s">
        <v>31</v>
      </c>
      <c r="Y168" s="39" t="s">
        <v>32</v>
      </c>
      <c r="Z168" s="44" t="s">
        <v>91</v>
      </c>
      <c r="AA168" s="39" t="s">
        <v>31</v>
      </c>
      <c r="AB168" s="118">
        <v>45658</v>
      </c>
      <c r="AE168" s="69"/>
      <c r="AF168" s="69"/>
      <c r="AI168" s="69"/>
      <c r="AJ168" s="69"/>
      <c r="AN168" s="69"/>
      <c r="AO168" s="69"/>
      <c r="AP168" s="69"/>
    </row>
    <row r="169" spans="1:54" s="17" customFormat="1" ht="45" x14ac:dyDescent="0.25">
      <c r="A169" s="1"/>
      <c r="B169" s="82" t="s">
        <v>276</v>
      </c>
      <c r="C169" s="37" t="s">
        <v>25</v>
      </c>
      <c r="D169" s="103" t="s">
        <v>426</v>
      </c>
      <c r="E169" s="124" t="s">
        <v>271</v>
      </c>
      <c r="F169" s="44" t="s">
        <v>505</v>
      </c>
      <c r="G169" s="39" t="s">
        <v>31</v>
      </c>
      <c r="H169" s="39">
        <v>4600002511</v>
      </c>
      <c r="I169" s="64">
        <v>23514668000152</v>
      </c>
      <c r="J169" s="85" t="s">
        <v>552</v>
      </c>
      <c r="K169" s="101" t="s">
        <v>368</v>
      </c>
      <c r="L169" s="40">
        <v>46022</v>
      </c>
      <c r="M169" s="49" t="s">
        <v>119</v>
      </c>
      <c r="N169" s="38" t="s">
        <v>61</v>
      </c>
      <c r="O169" s="37" t="s">
        <v>31</v>
      </c>
      <c r="P169" s="39" t="s">
        <v>294</v>
      </c>
      <c r="Q169" s="37" t="s">
        <v>29</v>
      </c>
      <c r="R169" s="43" t="s">
        <v>26</v>
      </c>
      <c r="S169" s="37" t="s">
        <v>29</v>
      </c>
      <c r="T169" s="40" t="s">
        <v>26</v>
      </c>
      <c r="U169" s="37" t="s">
        <v>31</v>
      </c>
      <c r="V169" s="43">
        <v>10.199999999999999</v>
      </c>
      <c r="W169" s="43">
        <v>30</v>
      </c>
      <c r="X169" s="37" t="s">
        <v>29</v>
      </c>
      <c r="Y169" s="39" t="s">
        <v>26</v>
      </c>
      <c r="Z169" s="44"/>
      <c r="AA169" s="39" t="s">
        <v>31</v>
      </c>
      <c r="AB169" s="118">
        <v>45658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30" hidden="1" x14ac:dyDescent="0.25">
      <c r="B170" s="82" t="s">
        <v>276</v>
      </c>
      <c r="C170" s="37" t="s">
        <v>159</v>
      </c>
      <c r="D170" s="103" t="s">
        <v>129</v>
      </c>
      <c r="E170" s="123" t="s">
        <v>521</v>
      </c>
      <c r="F170" s="44" t="s">
        <v>523</v>
      </c>
      <c r="G170" s="39" t="s">
        <v>29</v>
      </c>
      <c r="H170" s="39">
        <v>4600002980</v>
      </c>
      <c r="I170" s="64">
        <v>910509000171</v>
      </c>
      <c r="J170" s="85" t="s">
        <v>552</v>
      </c>
      <c r="K170" s="101" t="s">
        <v>311</v>
      </c>
      <c r="L170" s="40">
        <v>45827</v>
      </c>
      <c r="M170" s="41" t="s">
        <v>180</v>
      </c>
      <c r="N170" s="38" t="s">
        <v>66</v>
      </c>
      <c r="O170" s="37" t="s">
        <v>29</v>
      </c>
      <c r="P170" s="39" t="s">
        <v>10</v>
      </c>
      <c r="Q170" s="37" t="s">
        <v>29</v>
      </c>
      <c r="R170" s="43" t="s">
        <v>26</v>
      </c>
      <c r="S170" s="37" t="s">
        <v>29</v>
      </c>
      <c r="T170" s="40" t="s">
        <v>26</v>
      </c>
      <c r="U170" s="37" t="s">
        <v>31</v>
      </c>
      <c r="V170" s="43">
        <v>1.5</v>
      </c>
      <c r="W170" s="43">
        <v>90</v>
      </c>
      <c r="X170" s="37" t="s">
        <v>31</v>
      </c>
      <c r="Y170" s="48">
        <v>0.3</v>
      </c>
      <c r="Z170" s="44" t="s">
        <v>181</v>
      </c>
      <c r="AA170" s="39" t="s">
        <v>31</v>
      </c>
      <c r="AB170" s="118">
        <v>45658</v>
      </c>
      <c r="AE170" s="69"/>
      <c r="AF170" s="69"/>
      <c r="AI170" s="69"/>
      <c r="AJ170" s="69"/>
      <c r="AN170" s="69"/>
      <c r="AO170" s="69"/>
      <c r="AP170" s="69"/>
    </row>
    <row r="171" spans="1:54" ht="30" hidden="1" x14ac:dyDescent="0.25">
      <c r="B171" s="82" t="s">
        <v>276</v>
      </c>
      <c r="C171" s="37" t="s">
        <v>159</v>
      </c>
      <c r="D171" s="103" t="s">
        <v>129</v>
      </c>
      <c r="E171" s="123" t="s">
        <v>521</v>
      </c>
      <c r="F171" s="44" t="s">
        <v>523</v>
      </c>
      <c r="G171" s="39" t="s">
        <v>29</v>
      </c>
      <c r="H171" s="39">
        <v>4600002806</v>
      </c>
      <c r="I171" s="64">
        <v>8733698001057</v>
      </c>
      <c r="J171" s="85" t="s">
        <v>515</v>
      </c>
      <c r="K171" s="101" t="s">
        <v>345</v>
      </c>
      <c r="L171" s="40">
        <v>46112</v>
      </c>
      <c r="M171" s="49" t="s">
        <v>162</v>
      </c>
      <c r="N171" s="38" t="s">
        <v>66</v>
      </c>
      <c r="O171" s="37" t="s">
        <v>31</v>
      </c>
      <c r="P171" s="39" t="s">
        <v>294</v>
      </c>
      <c r="Q171" s="37" t="s">
        <v>29</v>
      </c>
      <c r="R171" s="43" t="s">
        <v>26</v>
      </c>
      <c r="S171" s="37" t="s">
        <v>29</v>
      </c>
      <c r="T171" s="40" t="s">
        <v>26</v>
      </c>
      <c r="U171" s="37" t="s">
        <v>31</v>
      </c>
      <c r="V171" s="43">
        <v>10.199999999999999</v>
      </c>
      <c r="W171" s="43">
        <v>30</v>
      </c>
      <c r="X171" s="37" t="s">
        <v>29</v>
      </c>
      <c r="Y171" s="39" t="s">
        <v>26</v>
      </c>
      <c r="Z171" s="44"/>
      <c r="AA171" s="39" t="s">
        <v>31</v>
      </c>
      <c r="AB171" s="118">
        <v>45658</v>
      </c>
      <c r="AE171" s="69"/>
      <c r="AF171" s="69"/>
      <c r="AI171" s="69"/>
      <c r="AJ171" s="69"/>
      <c r="AN171" s="69"/>
      <c r="AO171" s="69"/>
      <c r="AP171" s="69"/>
    </row>
    <row r="172" spans="1:54" ht="36.75" hidden="1" customHeight="1" x14ac:dyDescent="0.25">
      <c r="B172" s="82" t="s">
        <v>276</v>
      </c>
      <c r="C172" s="37" t="s">
        <v>128</v>
      </c>
      <c r="D172" s="103" t="s">
        <v>129</v>
      </c>
      <c r="E172" s="123" t="s">
        <v>521</v>
      </c>
      <c r="F172" s="44" t="s">
        <v>523</v>
      </c>
      <c r="G172" s="39" t="s">
        <v>614</v>
      </c>
      <c r="H172" s="39">
        <v>4600002693</v>
      </c>
      <c r="I172" s="64">
        <v>35647356000104</v>
      </c>
      <c r="J172" s="85" t="s">
        <v>515</v>
      </c>
      <c r="K172" s="101" t="s">
        <v>392</v>
      </c>
      <c r="L172" s="40">
        <v>45716</v>
      </c>
      <c r="M172" s="49" t="s">
        <v>151</v>
      </c>
      <c r="N172" s="38" t="s">
        <v>66</v>
      </c>
      <c r="O172" s="37" t="s">
        <v>31</v>
      </c>
      <c r="P172" s="39" t="s">
        <v>294</v>
      </c>
      <c r="Q172" s="37" t="s">
        <v>29</v>
      </c>
      <c r="R172" s="43" t="s">
        <v>26</v>
      </c>
      <c r="S172" s="37" t="s">
        <v>29</v>
      </c>
      <c r="T172" s="40" t="s">
        <v>26</v>
      </c>
      <c r="U172" s="37" t="s">
        <v>31</v>
      </c>
      <c r="V172" s="43">
        <v>10.199999999999999</v>
      </c>
      <c r="W172" s="43">
        <v>30</v>
      </c>
      <c r="X172" s="37" t="s">
        <v>29</v>
      </c>
      <c r="Y172" s="39" t="s">
        <v>26</v>
      </c>
      <c r="Z172" s="44"/>
      <c r="AA172" s="39" t="s">
        <v>31</v>
      </c>
      <c r="AB172" s="118">
        <v>45658</v>
      </c>
    </row>
    <row r="173" spans="1:54" ht="30" hidden="1" x14ac:dyDescent="0.25">
      <c r="B173" s="82" t="s">
        <v>276</v>
      </c>
      <c r="C173" s="37" t="s">
        <v>159</v>
      </c>
      <c r="D173" s="103" t="s">
        <v>129</v>
      </c>
      <c r="E173" s="123" t="s">
        <v>521</v>
      </c>
      <c r="F173" s="44" t="s">
        <v>523</v>
      </c>
      <c r="G173" s="39" t="s">
        <v>29</v>
      </c>
      <c r="H173" s="84">
        <v>4600002865</v>
      </c>
      <c r="I173" s="114">
        <v>61562112000201</v>
      </c>
      <c r="J173" s="85" t="s">
        <v>552</v>
      </c>
      <c r="K173" s="116" t="s">
        <v>416</v>
      </c>
      <c r="L173" s="86">
        <v>45808</v>
      </c>
      <c r="M173" s="90" t="s">
        <v>160</v>
      </c>
      <c r="N173" s="38" t="s">
        <v>66</v>
      </c>
      <c r="O173" s="88" t="s">
        <v>29</v>
      </c>
      <c r="P173" s="77" t="s">
        <v>295</v>
      </c>
      <c r="Q173" s="88" t="s">
        <v>31</v>
      </c>
      <c r="R173" s="89">
        <v>11.1</v>
      </c>
      <c r="S173" s="88" t="s">
        <v>29</v>
      </c>
      <c r="T173" s="86" t="s">
        <v>26</v>
      </c>
      <c r="U173" s="88" t="s">
        <v>31</v>
      </c>
      <c r="V173" s="89">
        <v>9.1999999999999993</v>
      </c>
      <c r="W173" s="89">
        <v>30</v>
      </c>
      <c r="X173" s="88" t="s">
        <v>29</v>
      </c>
      <c r="Y173" s="77" t="s">
        <v>26</v>
      </c>
      <c r="Z173" s="79"/>
      <c r="AA173" s="77" t="s">
        <v>31</v>
      </c>
      <c r="AB173" s="118">
        <v>45658</v>
      </c>
    </row>
    <row r="174" spans="1:54" ht="37.5" hidden="1" customHeight="1" x14ac:dyDescent="0.25">
      <c r="B174" s="82" t="s">
        <v>276</v>
      </c>
      <c r="C174" s="37" t="s">
        <v>128</v>
      </c>
      <c r="D174" s="103" t="s">
        <v>129</v>
      </c>
      <c r="E174" s="123" t="s">
        <v>521</v>
      </c>
      <c r="F174" s="44" t="s">
        <v>523</v>
      </c>
      <c r="G174" s="39" t="s">
        <v>614</v>
      </c>
      <c r="H174" s="84">
        <v>4600002998</v>
      </c>
      <c r="I174" s="85">
        <v>53205347000137</v>
      </c>
      <c r="J174" s="85" t="s">
        <v>552</v>
      </c>
      <c r="K174" s="116" t="s">
        <v>415</v>
      </c>
      <c r="L174" s="86">
        <v>45710</v>
      </c>
      <c r="M174" s="90" t="s">
        <v>130</v>
      </c>
      <c r="N174" s="38" t="s">
        <v>66</v>
      </c>
      <c r="O174" s="88" t="s">
        <v>29</v>
      </c>
      <c r="P174" s="77" t="s">
        <v>295</v>
      </c>
      <c r="Q174" s="88" t="s">
        <v>31</v>
      </c>
      <c r="R174" s="89">
        <v>11.2</v>
      </c>
      <c r="S174" s="88" t="s">
        <v>29</v>
      </c>
      <c r="T174" s="86" t="s">
        <v>26</v>
      </c>
      <c r="U174" s="88" t="s">
        <v>31</v>
      </c>
      <c r="V174" s="89">
        <v>9.1999999999999993</v>
      </c>
      <c r="W174" s="89">
        <v>30</v>
      </c>
      <c r="X174" s="88" t="s">
        <v>29</v>
      </c>
      <c r="Y174" s="77" t="s">
        <v>26</v>
      </c>
      <c r="Z174" s="79"/>
      <c r="AA174" s="77" t="s">
        <v>31</v>
      </c>
      <c r="AB174" s="118">
        <v>45658</v>
      </c>
    </row>
    <row r="175" spans="1:54" ht="36.75" hidden="1" customHeight="1" x14ac:dyDescent="0.25">
      <c r="B175" s="82" t="s">
        <v>276</v>
      </c>
      <c r="C175" s="37" t="s">
        <v>128</v>
      </c>
      <c r="D175" s="103" t="s">
        <v>129</v>
      </c>
      <c r="E175" s="123" t="s">
        <v>521</v>
      </c>
      <c r="F175" s="44" t="s">
        <v>523</v>
      </c>
      <c r="G175" s="39" t="s">
        <v>614</v>
      </c>
      <c r="H175" s="39">
        <v>4600003022</v>
      </c>
      <c r="I175" s="64">
        <v>9156285000129</v>
      </c>
      <c r="J175" s="85" t="s">
        <v>515</v>
      </c>
      <c r="K175" s="101" t="s">
        <v>234</v>
      </c>
      <c r="L175" s="40">
        <v>45982</v>
      </c>
      <c r="M175" s="41" t="s">
        <v>174</v>
      </c>
      <c r="N175" s="38" t="s">
        <v>66</v>
      </c>
      <c r="O175" s="37" t="s">
        <v>31</v>
      </c>
      <c r="P175" s="39" t="s">
        <v>294</v>
      </c>
      <c r="Q175" s="37" t="s">
        <v>29</v>
      </c>
      <c r="R175" s="43" t="s">
        <v>26</v>
      </c>
      <c r="S175" s="37" t="s">
        <v>29</v>
      </c>
      <c r="T175" s="40" t="s">
        <v>26</v>
      </c>
      <c r="U175" s="37" t="s">
        <v>31</v>
      </c>
      <c r="V175" s="43">
        <v>9.1999999999999993</v>
      </c>
      <c r="W175" s="43">
        <v>30</v>
      </c>
      <c r="X175" s="37" t="s">
        <v>29</v>
      </c>
      <c r="Y175" s="39" t="s">
        <v>26</v>
      </c>
      <c r="Z175" s="44"/>
      <c r="AA175" s="39" t="s">
        <v>31</v>
      </c>
      <c r="AB175" s="118">
        <v>45658</v>
      </c>
      <c r="AE175" s="69"/>
      <c r="AF175" s="69"/>
      <c r="AI175" s="69"/>
      <c r="AJ175" s="69"/>
      <c r="AN175" s="69"/>
      <c r="AO175" s="69"/>
      <c r="AP175" s="69"/>
    </row>
    <row r="176" spans="1:54" ht="36.75" hidden="1" customHeight="1" x14ac:dyDescent="0.25">
      <c r="B176" s="82" t="s">
        <v>276</v>
      </c>
      <c r="C176" s="37" t="s">
        <v>128</v>
      </c>
      <c r="D176" s="103" t="s">
        <v>129</v>
      </c>
      <c r="E176" s="123" t="s">
        <v>521</v>
      </c>
      <c r="F176" s="44" t="s">
        <v>523</v>
      </c>
      <c r="G176" s="39" t="s">
        <v>614</v>
      </c>
      <c r="H176" s="39">
        <v>4600002971</v>
      </c>
      <c r="I176" s="64">
        <v>39062740000198</v>
      </c>
      <c r="J176" s="85" t="s">
        <v>515</v>
      </c>
      <c r="K176" s="101" t="s">
        <v>395</v>
      </c>
      <c r="L176" s="40">
        <v>46174</v>
      </c>
      <c r="M176" s="41" t="s">
        <v>170</v>
      </c>
      <c r="N176" s="38" t="s">
        <v>66</v>
      </c>
      <c r="O176" s="37" t="s">
        <v>31</v>
      </c>
      <c r="P176" s="39" t="s">
        <v>294</v>
      </c>
      <c r="Q176" s="37" t="s">
        <v>29</v>
      </c>
      <c r="R176" s="43" t="s">
        <v>26</v>
      </c>
      <c r="S176" s="37" t="s">
        <v>29</v>
      </c>
      <c r="T176" s="40" t="s">
        <v>26</v>
      </c>
      <c r="U176" s="37" t="s">
        <v>31</v>
      </c>
      <c r="V176" s="43">
        <v>9.1999999999999993</v>
      </c>
      <c r="W176" s="43">
        <v>30</v>
      </c>
      <c r="X176" s="37" t="s">
        <v>29</v>
      </c>
      <c r="Y176" s="39" t="s">
        <v>26</v>
      </c>
      <c r="Z176" s="44"/>
      <c r="AA176" s="39" t="s">
        <v>31</v>
      </c>
      <c r="AB176" s="118">
        <v>45658</v>
      </c>
    </row>
    <row r="177" spans="2:28" ht="30" hidden="1" x14ac:dyDescent="0.25">
      <c r="B177" s="82" t="s">
        <v>276</v>
      </c>
      <c r="C177" s="37" t="s">
        <v>159</v>
      </c>
      <c r="D177" s="103" t="s">
        <v>129</v>
      </c>
      <c r="E177" s="123" t="s">
        <v>521</v>
      </c>
      <c r="F177" s="44" t="s">
        <v>523</v>
      </c>
      <c r="G177" s="39" t="s">
        <v>29</v>
      </c>
      <c r="H177" s="39">
        <v>4600002771</v>
      </c>
      <c r="I177" s="64">
        <v>5516218000117</v>
      </c>
      <c r="J177" s="85" t="s">
        <v>552</v>
      </c>
      <c r="K177" s="101" t="s">
        <v>332</v>
      </c>
      <c r="L177" s="40">
        <v>45869</v>
      </c>
      <c r="M177" s="49" t="s">
        <v>175</v>
      </c>
      <c r="N177" s="38" t="s">
        <v>66</v>
      </c>
      <c r="O177" s="37" t="s">
        <v>29</v>
      </c>
      <c r="P177" s="39" t="s">
        <v>10</v>
      </c>
      <c r="Q177" s="37" t="s">
        <v>31</v>
      </c>
      <c r="R177" s="43">
        <v>13.2</v>
      </c>
      <c r="S177" s="37" t="s">
        <v>31</v>
      </c>
      <c r="T177" s="40" t="s">
        <v>26</v>
      </c>
      <c r="U177" s="37" t="s">
        <v>29</v>
      </c>
      <c r="V177" s="43">
        <v>7.2</v>
      </c>
      <c r="W177" s="43" t="s">
        <v>26</v>
      </c>
      <c r="X177" s="37" t="s">
        <v>29</v>
      </c>
      <c r="Y177" s="39" t="s">
        <v>32</v>
      </c>
      <c r="Z177" s="44" t="s">
        <v>176</v>
      </c>
      <c r="AA177" s="39" t="s">
        <v>31</v>
      </c>
      <c r="AB177" s="118">
        <v>45658</v>
      </c>
    </row>
    <row r="178" spans="2:28" ht="45" hidden="1" x14ac:dyDescent="0.25">
      <c r="B178" s="82" t="s">
        <v>276</v>
      </c>
      <c r="C178" s="37" t="s">
        <v>164</v>
      </c>
      <c r="D178" s="103" t="s">
        <v>165</v>
      </c>
      <c r="E178" s="124" t="s">
        <v>269</v>
      </c>
      <c r="F178" s="44" t="s">
        <v>584</v>
      </c>
      <c r="G178" s="44" t="s">
        <v>29</v>
      </c>
      <c r="H178" s="39">
        <v>4600003001</v>
      </c>
      <c r="I178" s="64">
        <v>40519000000117</v>
      </c>
      <c r="J178" s="85" t="s">
        <v>553</v>
      </c>
      <c r="K178" s="101" t="s">
        <v>398</v>
      </c>
      <c r="L178" s="40">
        <v>45933</v>
      </c>
      <c r="M178" s="49" t="s">
        <v>166</v>
      </c>
      <c r="N178" s="38" t="s">
        <v>66</v>
      </c>
      <c r="O178" s="37" t="s">
        <v>31</v>
      </c>
      <c r="P178" s="39" t="s">
        <v>294</v>
      </c>
      <c r="Q178" s="37" t="s">
        <v>29</v>
      </c>
      <c r="R178" s="43" t="s">
        <v>26</v>
      </c>
      <c r="S178" s="37" t="s">
        <v>29</v>
      </c>
      <c r="T178" s="40" t="s">
        <v>26</v>
      </c>
      <c r="U178" s="37" t="s">
        <v>31</v>
      </c>
      <c r="V178" s="43">
        <v>10.199999999999999</v>
      </c>
      <c r="W178" s="43">
        <v>30</v>
      </c>
      <c r="X178" s="37" t="s">
        <v>29</v>
      </c>
      <c r="Y178" s="39" t="s">
        <v>26</v>
      </c>
      <c r="Z178" s="44"/>
      <c r="AA178" s="39" t="s">
        <v>31</v>
      </c>
      <c r="AB178" s="118">
        <v>45658</v>
      </c>
    </row>
    <row r="179" spans="2:28" ht="45" hidden="1" x14ac:dyDescent="0.25">
      <c r="B179" s="82" t="s">
        <v>276</v>
      </c>
      <c r="C179" s="37" t="s">
        <v>164</v>
      </c>
      <c r="D179" s="103" t="s">
        <v>165</v>
      </c>
      <c r="E179" s="124" t="s">
        <v>269</v>
      </c>
      <c r="F179" s="44" t="s">
        <v>584</v>
      </c>
      <c r="G179" s="44" t="s">
        <v>29</v>
      </c>
      <c r="H179" s="39">
        <v>4600003032</v>
      </c>
      <c r="I179" s="64">
        <v>3912365000180</v>
      </c>
      <c r="J179" s="85" t="s">
        <v>553</v>
      </c>
      <c r="K179" s="101" t="s">
        <v>321</v>
      </c>
      <c r="L179" s="40">
        <v>46024</v>
      </c>
      <c r="M179" s="49" t="s">
        <v>188</v>
      </c>
      <c r="N179" s="38" t="s">
        <v>73</v>
      </c>
      <c r="O179" s="37" t="s">
        <v>31</v>
      </c>
      <c r="P179" s="39" t="s">
        <v>294</v>
      </c>
      <c r="Q179" s="37" t="s">
        <v>29</v>
      </c>
      <c r="R179" s="43" t="s">
        <v>26</v>
      </c>
      <c r="S179" s="37" t="s">
        <v>29</v>
      </c>
      <c r="T179" s="40" t="s">
        <v>26</v>
      </c>
      <c r="U179" s="37" t="s">
        <v>31</v>
      </c>
      <c r="V179" s="43">
        <v>10.199999999999999</v>
      </c>
      <c r="W179" s="43">
        <v>30</v>
      </c>
      <c r="X179" s="37" t="s">
        <v>29</v>
      </c>
      <c r="Y179" s="39" t="s">
        <v>26</v>
      </c>
      <c r="Z179" s="44"/>
      <c r="AA179" s="39" t="s">
        <v>31</v>
      </c>
      <c r="AB179" s="118">
        <v>45658</v>
      </c>
    </row>
    <row r="180" spans="2:28" ht="30" hidden="1" x14ac:dyDescent="0.25">
      <c r="B180" s="82" t="s">
        <v>276</v>
      </c>
      <c r="C180" s="37" t="s">
        <v>153</v>
      </c>
      <c r="D180" s="103" t="s">
        <v>135</v>
      </c>
      <c r="E180" s="123" t="s">
        <v>271</v>
      </c>
      <c r="F180" s="44" t="s">
        <v>277</v>
      </c>
      <c r="G180" s="44" t="s">
        <v>29</v>
      </c>
      <c r="H180" s="84">
        <v>4600002878</v>
      </c>
      <c r="I180" s="85">
        <v>8399167000189</v>
      </c>
      <c r="J180" s="85" t="s">
        <v>552</v>
      </c>
      <c r="K180" s="116" t="s">
        <v>585</v>
      </c>
      <c r="L180" s="40">
        <v>46022</v>
      </c>
      <c r="M180" s="90" t="s">
        <v>154</v>
      </c>
      <c r="N180" s="38" t="s">
        <v>66</v>
      </c>
      <c r="O180" s="88" t="s">
        <v>29</v>
      </c>
      <c r="P180" s="77" t="s">
        <v>295</v>
      </c>
      <c r="Q180" s="88" t="s">
        <v>31</v>
      </c>
      <c r="R180" s="89">
        <v>12.2</v>
      </c>
      <c r="S180" s="88" t="s">
        <v>29</v>
      </c>
      <c r="T180" s="86" t="s">
        <v>26</v>
      </c>
      <c r="U180" s="88" t="s">
        <v>31</v>
      </c>
      <c r="V180" s="89">
        <v>10.199999999999999</v>
      </c>
      <c r="W180" s="89">
        <v>30</v>
      </c>
      <c r="X180" s="88" t="s">
        <v>29</v>
      </c>
      <c r="Y180" s="77" t="s">
        <v>26</v>
      </c>
      <c r="Z180" s="79"/>
      <c r="AA180" s="77" t="s">
        <v>31</v>
      </c>
      <c r="AB180" s="118">
        <v>45658</v>
      </c>
    </row>
    <row r="181" spans="2:28" ht="30" x14ac:dyDescent="0.25">
      <c r="B181" s="82" t="s">
        <v>276</v>
      </c>
      <c r="C181" s="37" t="s">
        <v>58</v>
      </c>
      <c r="D181" s="103" t="s">
        <v>59</v>
      </c>
      <c r="E181" s="124" t="s">
        <v>269</v>
      </c>
      <c r="F181" s="44"/>
      <c r="G181" s="39" t="s">
        <v>31</v>
      </c>
      <c r="H181" s="39">
        <v>4600002752</v>
      </c>
      <c r="I181" s="64">
        <v>23373000000132</v>
      </c>
      <c r="J181" s="85" t="s">
        <v>506</v>
      </c>
      <c r="K181" s="101" t="s">
        <v>367</v>
      </c>
      <c r="L181" s="40">
        <v>46082</v>
      </c>
      <c r="M181" s="49" t="s">
        <v>60</v>
      </c>
      <c r="N181" s="38" t="s">
        <v>61</v>
      </c>
      <c r="O181" s="37" t="s">
        <v>31</v>
      </c>
      <c r="P181" s="39" t="s">
        <v>294</v>
      </c>
      <c r="Q181" s="37" t="s">
        <v>29</v>
      </c>
      <c r="R181" s="43" t="s">
        <v>26</v>
      </c>
      <c r="S181" s="37" t="s">
        <v>29</v>
      </c>
      <c r="T181" s="40" t="s">
        <v>26</v>
      </c>
      <c r="U181" s="37" t="s">
        <v>31</v>
      </c>
      <c r="V181" s="43">
        <v>9</v>
      </c>
      <c r="W181" s="43">
        <v>30</v>
      </c>
      <c r="X181" s="37" t="s">
        <v>31</v>
      </c>
      <c r="Y181" s="48">
        <v>0.3</v>
      </c>
      <c r="Z181" s="44" t="s">
        <v>79</v>
      </c>
      <c r="AA181" s="39" t="s">
        <v>31</v>
      </c>
      <c r="AB181" s="118">
        <v>45658</v>
      </c>
    </row>
    <row r="182" spans="2:28" ht="30" hidden="1" x14ac:dyDescent="0.25">
      <c r="B182" s="82" t="s">
        <v>276</v>
      </c>
      <c r="C182" s="37" t="s">
        <v>74</v>
      </c>
      <c r="D182" s="103" t="s">
        <v>59</v>
      </c>
      <c r="E182" s="124" t="s">
        <v>269</v>
      </c>
      <c r="F182" s="44"/>
      <c r="G182" s="39" t="s">
        <v>29</v>
      </c>
      <c r="H182" s="39">
        <v>4600002734</v>
      </c>
      <c r="I182" s="64">
        <v>3935832000198</v>
      </c>
      <c r="J182" s="85" t="s">
        <v>553</v>
      </c>
      <c r="K182" s="101" t="s">
        <v>322</v>
      </c>
      <c r="L182" s="40">
        <v>45777</v>
      </c>
      <c r="M182" s="45" t="s">
        <v>496</v>
      </c>
      <c r="N182" s="38" t="s">
        <v>76</v>
      </c>
      <c r="O182" s="37" t="s">
        <v>31</v>
      </c>
      <c r="P182" s="39" t="s">
        <v>294</v>
      </c>
      <c r="Q182" s="37" t="s">
        <v>29</v>
      </c>
      <c r="R182" s="43" t="s">
        <v>26</v>
      </c>
      <c r="S182" s="37" t="s">
        <v>29</v>
      </c>
      <c r="T182" s="40" t="s">
        <v>26</v>
      </c>
      <c r="U182" s="37" t="s">
        <v>31</v>
      </c>
      <c r="V182" s="43">
        <v>10.199999999999999</v>
      </c>
      <c r="W182" s="43">
        <v>30</v>
      </c>
      <c r="X182" s="37" t="s">
        <v>29</v>
      </c>
      <c r="Y182" s="39" t="s">
        <v>26</v>
      </c>
      <c r="Z182" s="44"/>
      <c r="AA182" s="39" t="s">
        <v>31</v>
      </c>
      <c r="AB182" s="118">
        <v>45658</v>
      </c>
    </row>
    <row r="183" spans="2:28" hidden="1" x14ac:dyDescent="0.25">
      <c r="B183" s="82" t="s">
        <v>276</v>
      </c>
      <c r="C183" s="37" t="s">
        <v>84</v>
      </c>
      <c r="D183" s="103" t="s">
        <v>59</v>
      </c>
      <c r="E183" s="124" t="s">
        <v>269</v>
      </c>
      <c r="F183" s="44"/>
      <c r="G183" s="44" t="s">
        <v>29</v>
      </c>
      <c r="H183" s="39">
        <v>4600002501</v>
      </c>
      <c r="I183" s="64">
        <v>5956304000140</v>
      </c>
      <c r="J183" s="85" t="s">
        <v>514</v>
      </c>
      <c r="K183" s="101" t="s">
        <v>334</v>
      </c>
      <c r="L183" s="40">
        <v>46660</v>
      </c>
      <c r="M183" s="49" t="s">
        <v>75</v>
      </c>
      <c r="N183" s="38" t="s">
        <v>76</v>
      </c>
      <c r="O183" s="37" t="s">
        <v>31</v>
      </c>
      <c r="P183" s="39" t="s">
        <v>294</v>
      </c>
      <c r="Q183" s="37" t="s">
        <v>29</v>
      </c>
      <c r="R183" s="43" t="s">
        <v>26</v>
      </c>
      <c r="S183" s="37" t="s">
        <v>29</v>
      </c>
      <c r="T183" s="40" t="s">
        <v>26</v>
      </c>
      <c r="U183" s="37" t="s">
        <v>31</v>
      </c>
      <c r="V183" s="43">
        <v>10.199999999999999</v>
      </c>
      <c r="W183" s="43">
        <v>60</v>
      </c>
      <c r="X183" s="37" t="s">
        <v>29</v>
      </c>
      <c r="Y183" s="39" t="s">
        <v>26</v>
      </c>
      <c r="Z183" s="44"/>
      <c r="AA183" s="39" t="s">
        <v>31</v>
      </c>
      <c r="AB183" s="118">
        <v>45658</v>
      </c>
    </row>
    <row r="184" spans="2:28" ht="45" hidden="1" x14ac:dyDescent="0.25">
      <c r="B184" s="82" t="s">
        <v>276</v>
      </c>
      <c r="C184" s="37" t="s">
        <v>84</v>
      </c>
      <c r="D184" s="103" t="s">
        <v>59</v>
      </c>
      <c r="E184" s="123" t="s">
        <v>268</v>
      </c>
      <c r="F184" s="44"/>
      <c r="G184" s="44"/>
      <c r="H184" s="39">
        <v>4600002986</v>
      </c>
      <c r="I184" s="64">
        <v>31376361000160</v>
      </c>
      <c r="J184" s="85" t="s">
        <v>476</v>
      </c>
      <c r="K184" s="101" t="s">
        <v>383</v>
      </c>
      <c r="L184" s="40">
        <v>45900</v>
      </c>
      <c r="M184" s="45" t="s">
        <v>486</v>
      </c>
      <c r="N184" s="38" t="s">
        <v>76</v>
      </c>
      <c r="O184" s="37" t="s">
        <v>31</v>
      </c>
      <c r="P184" s="39" t="s">
        <v>294</v>
      </c>
      <c r="Q184" s="37" t="s">
        <v>29</v>
      </c>
      <c r="R184" s="43" t="s">
        <v>26</v>
      </c>
      <c r="S184" s="37" t="s">
        <v>29</v>
      </c>
      <c r="T184" s="40" t="s">
        <v>26</v>
      </c>
      <c r="U184" s="37" t="s">
        <v>31</v>
      </c>
      <c r="V184" s="43">
        <v>10.199999999999999</v>
      </c>
      <c r="W184" s="43">
        <v>30</v>
      </c>
      <c r="X184" s="37" t="s">
        <v>29</v>
      </c>
      <c r="Y184" s="39" t="s">
        <v>26</v>
      </c>
      <c r="Z184" s="44"/>
      <c r="AA184" s="39" t="s">
        <v>31</v>
      </c>
      <c r="AB184" s="118">
        <v>45658</v>
      </c>
    </row>
    <row r="185" spans="2:28" ht="29.25" hidden="1" customHeight="1" x14ac:dyDescent="0.25">
      <c r="B185" s="82" t="s">
        <v>276</v>
      </c>
      <c r="C185" s="37" t="s">
        <v>58</v>
      </c>
      <c r="D185" s="103" t="s">
        <v>59</v>
      </c>
      <c r="E185" s="124" t="s">
        <v>269</v>
      </c>
      <c r="F185" s="44"/>
      <c r="G185" s="39" t="s">
        <v>29</v>
      </c>
      <c r="H185" s="84">
        <v>4600002413</v>
      </c>
      <c r="I185" s="114">
        <v>5221594000184</v>
      </c>
      <c r="J185" s="85" t="s">
        <v>506</v>
      </c>
      <c r="K185" s="116" t="s">
        <v>329</v>
      </c>
      <c r="L185" s="86">
        <v>45716</v>
      </c>
      <c r="M185" s="87" t="s">
        <v>67</v>
      </c>
      <c r="N185" s="38" t="s">
        <v>61</v>
      </c>
      <c r="O185" s="88" t="s">
        <v>29</v>
      </c>
      <c r="P185" s="77" t="s">
        <v>295</v>
      </c>
      <c r="Q185" s="88" t="s">
        <v>29</v>
      </c>
      <c r="R185" s="89" t="s">
        <v>26</v>
      </c>
      <c r="S185" s="88" t="s">
        <v>29</v>
      </c>
      <c r="T185" s="86" t="s">
        <v>26</v>
      </c>
      <c r="U185" s="88" t="s">
        <v>31</v>
      </c>
      <c r="V185" s="89">
        <v>10</v>
      </c>
      <c r="W185" s="89">
        <v>90</v>
      </c>
      <c r="X185" s="88" t="s">
        <v>31</v>
      </c>
      <c r="Y185" s="92">
        <v>0.5</v>
      </c>
      <c r="Z185" s="79" t="s">
        <v>68</v>
      </c>
      <c r="AA185" s="77" t="s">
        <v>31</v>
      </c>
      <c r="AB185" s="118">
        <v>45658</v>
      </c>
    </row>
    <row r="186" spans="2:28" ht="30" x14ac:dyDescent="0.25">
      <c r="B186" s="82" t="s">
        <v>276</v>
      </c>
      <c r="C186" s="37" t="s">
        <v>58</v>
      </c>
      <c r="D186" s="103" t="s">
        <v>59</v>
      </c>
      <c r="E186" s="124" t="s">
        <v>269</v>
      </c>
      <c r="F186" s="44"/>
      <c r="G186" s="39" t="s">
        <v>31</v>
      </c>
      <c r="H186" s="39">
        <v>4600003023</v>
      </c>
      <c r="I186" s="64">
        <v>3506307000157</v>
      </c>
      <c r="J186" s="85" t="s">
        <v>506</v>
      </c>
      <c r="K186" s="101" t="s">
        <v>317</v>
      </c>
      <c r="L186" s="40">
        <v>45869</v>
      </c>
      <c r="M186" s="49" t="s">
        <v>69</v>
      </c>
      <c r="N186" s="38" t="s">
        <v>61</v>
      </c>
      <c r="O186" s="37" t="s">
        <v>31</v>
      </c>
      <c r="P186" s="39" t="s">
        <v>294</v>
      </c>
      <c r="Q186" s="37" t="s">
        <v>29</v>
      </c>
      <c r="R186" s="43" t="s">
        <v>26</v>
      </c>
      <c r="S186" s="37" t="s">
        <v>29</v>
      </c>
      <c r="T186" s="40" t="s">
        <v>26</v>
      </c>
      <c r="U186" s="37" t="s">
        <v>31</v>
      </c>
      <c r="V186" s="43">
        <v>10</v>
      </c>
      <c r="W186" s="43">
        <v>30</v>
      </c>
      <c r="X186" s="37" t="s">
        <v>29</v>
      </c>
      <c r="Y186" s="39" t="s">
        <v>26</v>
      </c>
      <c r="Z186" s="44"/>
      <c r="AA186" s="39" t="s">
        <v>31</v>
      </c>
      <c r="AB186" s="118">
        <v>45658</v>
      </c>
    </row>
    <row r="187" spans="2:28" ht="30" hidden="1" x14ac:dyDescent="0.25">
      <c r="B187" s="82" t="s">
        <v>276</v>
      </c>
      <c r="C187" s="37" t="s">
        <v>84</v>
      </c>
      <c r="D187" s="103" t="s">
        <v>59</v>
      </c>
      <c r="E187" s="124" t="s">
        <v>269</v>
      </c>
      <c r="F187" s="44"/>
      <c r="G187" s="44" t="s">
        <v>29</v>
      </c>
      <c r="H187" s="39">
        <v>4600002938</v>
      </c>
      <c r="I187" s="70">
        <v>20895656000127</v>
      </c>
      <c r="J187" s="85" t="s">
        <v>512</v>
      </c>
      <c r="K187" s="101" t="s">
        <v>360</v>
      </c>
      <c r="L187" s="40">
        <v>46356</v>
      </c>
      <c r="M187" s="49" t="s">
        <v>113</v>
      </c>
      <c r="N187" s="38" t="s">
        <v>76</v>
      </c>
      <c r="O187" s="37" t="s">
        <v>31</v>
      </c>
      <c r="P187" s="39" t="s">
        <v>294</v>
      </c>
      <c r="Q187" s="37" t="s">
        <v>29</v>
      </c>
      <c r="R187" s="43" t="s">
        <v>85</v>
      </c>
      <c r="S187" s="37" t="s">
        <v>29</v>
      </c>
      <c r="T187" s="40" t="s">
        <v>85</v>
      </c>
      <c r="U187" s="37" t="s">
        <v>31</v>
      </c>
      <c r="V187" s="43">
        <v>10.199999999999999</v>
      </c>
      <c r="W187" s="43">
        <v>90</v>
      </c>
      <c r="X187" s="37" t="s">
        <v>29</v>
      </c>
      <c r="Y187" s="39" t="s">
        <v>85</v>
      </c>
      <c r="Z187" s="44"/>
      <c r="AA187" s="39" t="s">
        <v>31</v>
      </c>
      <c r="AB187" s="118">
        <v>45658</v>
      </c>
    </row>
    <row r="188" spans="2:28" ht="30" hidden="1" x14ac:dyDescent="0.25">
      <c r="B188" s="82" t="s">
        <v>276</v>
      </c>
      <c r="C188" s="37" t="s">
        <v>74</v>
      </c>
      <c r="D188" s="103" t="s">
        <v>59</v>
      </c>
      <c r="E188" s="124" t="s">
        <v>269</v>
      </c>
      <c r="F188" s="44"/>
      <c r="G188" s="39" t="s">
        <v>29</v>
      </c>
      <c r="H188" s="39">
        <v>4600002968</v>
      </c>
      <c r="I188" s="64">
        <v>24572487000145</v>
      </c>
      <c r="J188" s="85" t="s">
        <v>553</v>
      </c>
      <c r="K188" s="101" t="s">
        <v>371</v>
      </c>
      <c r="L188" s="40">
        <v>45777</v>
      </c>
      <c r="M188" s="45" t="s">
        <v>494</v>
      </c>
      <c r="N188" s="38" t="s">
        <v>76</v>
      </c>
      <c r="O188" s="37" t="s">
        <v>31</v>
      </c>
      <c r="P188" s="39" t="s">
        <v>294</v>
      </c>
      <c r="Q188" s="37" t="s">
        <v>29</v>
      </c>
      <c r="R188" s="43" t="s">
        <v>26</v>
      </c>
      <c r="S188" s="37" t="s">
        <v>29</v>
      </c>
      <c r="T188" s="40" t="s">
        <v>26</v>
      </c>
      <c r="U188" s="37" t="s">
        <v>31</v>
      </c>
      <c r="V188" s="43">
        <v>10.199999999999999</v>
      </c>
      <c r="W188" s="43">
        <v>30</v>
      </c>
      <c r="X188" s="37" t="s">
        <v>29</v>
      </c>
      <c r="Y188" s="39" t="s">
        <v>26</v>
      </c>
      <c r="Z188" s="44"/>
      <c r="AA188" s="39" t="s">
        <v>31</v>
      </c>
      <c r="AB188" s="118">
        <v>45658</v>
      </c>
    </row>
    <row r="189" spans="2:28" ht="30" hidden="1" x14ac:dyDescent="0.25">
      <c r="B189" s="82" t="s">
        <v>276</v>
      </c>
      <c r="C189" s="37" t="s">
        <v>74</v>
      </c>
      <c r="D189" s="103" t="s">
        <v>59</v>
      </c>
      <c r="E189" s="124" t="s">
        <v>269</v>
      </c>
      <c r="F189" s="44"/>
      <c r="G189" s="39" t="s">
        <v>29</v>
      </c>
      <c r="H189" s="39">
        <v>4600002872</v>
      </c>
      <c r="I189" s="70">
        <v>27084040000115</v>
      </c>
      <c r="J189" s="85" t="s">
        <v>512</v>
      </c>
      <c r="K189" s="101" t="s">
        <v>376</v>
      </c>
      <c r="L189" s="40">
        <v>45808</v>
      </c>
      <c r="M189" s="45" t="s">
        <v>489</v>
      </c>
      <c r="N189" s="38" t="s">
        <v>76</v>
      </c>
      <c r="O189" s="37" t="s">
        <v>31</v>
      </c>
      <c r="P189" s="39" t="s">
        <v>294</v>
      </c>
      <c r="Q189" s="37" t="s">
        <v>29</v>
      </c>
      <c r="R189" s="43" t="s">
        <v>26</v>
      </c>
      <c r="S189" s="37" t="s">
        <v>29</v>
      </c>
      <c r="T189" s="40" t="s">
        <v>26</v>
      </c>
      <c r="U189" s="37" t="s">
        <v>31</v>
      </c>
      <c r="V189" s="43">
        <v>10.199999999999999</v>
      </c>
      <c r="W189" s="43">
        <v>30</v>
      </c>
      <c r="X189" s="37" t="s">
        <v>29</v>
      </c>
      <c r="Y189" s="39" t="s">
        <v>26</v>
      </c>
      <c r="Z189" s="44"/>
      <c r="AA189" s="39" t="s">
        <v>31</v>
      </c>
      <c r="AB189" s="118">
        <v>45658</v>
      </c>
    </row>
    <row r="190" spans="2:28" ht="30" hidden="1" x14ac:dyDescent="0.25">
      <c r="B190" s="82" t="s">
        <v>276</v>
      </c>
      <c r="C190" s="37" t="s">
        <v>74</v>
      </c>
      <c r="D190" s="103" t="s">
        <v>59</v>
      </c>
      <c r="E190" s="123" t="s">
        <v>268</v>
      </c>
      <c r="F190" s="44"/>
      <c r="G190" s="39" t="s">
        <v>29</v>
      </c>
      <c r="H190" s="39">
        <v>4600003020</v>
      </c>
      <c r="I190" s="64">
        <v>4808914000134</v>
      </c>
      <c r="J190" s="85" t="s">
        <v>476</v>
      </c>
      <c r="K190" s="101" t="s">
        <v>327</v>
      </c>
      <c r="L190" s="40">
        <v>46356</v>
      </c>
      <c r="M190" s="49" t="s">
        <v>94</v>
      </c>
      <c r="N190" s="38" t="s">
        <v>73</v>
      </c>
      <c r="O190" s="37" t="s">
        <v>31</v>
      </c>
      <c r="P190" s="39" t="s">
        <v>294</v>
      </c>
      <c r="Q190" s="37" t="s">
        <v>29</v>
      </c>
      <c r="R190" s="43" t="s">
        <v>26</v>
      </c>
      <c r="S190" s="37" t="s">
        <v>29</v>
      </c>
      <c r="T190" s="40" t="s">
        <v>26</v>
      </c>
      <c r="U190" s="37" t="s">
        <v>31</v>
      </c>
      <c r="V190" s="43">
        <v>10</v>
      </c>
      <c r="W190" s="43">
        <v>30</v>
      </c>
      <c r="X190" s="37" t="s">
        <v>29</v>
      </c>
      <c r="Y190" s="39" t="s">
        <v>26</v>
      </c>
      <c r="Z190" s="44"/>
      <c r="AA190" s="39" t="s">
        <v>31</v>
      </c>
      <c r="AB190" s="118">
        <v>45658</v>
      </c>
    </row>
    <row r="191" spans="2:28" ht="30" hidden="1" x14ac:dyDescent="0.25">
      <c r="B191" s="82" t="s">
        <v>276</v>
      </c>
      <c r="C191" s="37" t="s">
        <v>84</v>
      </c>
      <c r="D191" s="103" t="s">
        <v>59</v>
      </c>
      <c r="E191" s="123" t="s">
        <v>268</v>
      </c>
      <c r="F191" s="44"/>
      <c r="G191" s="44"/>
      <c r="H191" s="39">
        <v>4600003019</v>
      </c>
      <c r="I191" s="70">
        <v>35047488000197</v>
      </c>
      <c r="J191" s="85" t="s">
        <v>476</v>
      </c>
      <c r="K191" s="101" t="s">
        <v>391</v>
      </c>
      <c r="L191" s="40">
        <v>46356</v>
      </c>
      <c r="M191" s="49" t="s">
        <v>487</v>
      </c>
      <c r="N191" s="38" t="s">
        <v>73</v>
      </c>
      <c r="O191" s="37" t="s">
        <v>31</v>
      </c>
      <c r="P191" s="39" t="s">
        <v>294</v>
      </c>
      <c r="Q191" s="37" t="s">
        <v>29</v>
      </c>
      <c r="R191" s="43" t="s">
        <v>26</v>
      </c>
      <c r="S191" s="37" t="s">
        <v>29</v>
      </c>
      <c r="T191" s="40" t="s">
        <v>26</v>
      </c>
      <c r="U191" s="37" t="s">
        <v>31</v>
      </c>
      <c r="V191" s="43">
        <v>10</v>
      </c>
      <c r="W191" s="43">
        <v>30</v>
      </c>
      <c r="X191" s="37" t="s">
        <v>29</v>
      </c>
      <c r="Y191" s="39" t="s">
        <v>26</v>
      </c>
      <c r="Z191" s="44"/>
      <c r="AA191" s="39" t="s">
        <v>31</v>
      </c>
      <c r="AB191" s="118">
        <v>45658</v>
      </c>
    </row>
    <row r="192" spans="2:28" ht="30" x14ac:dyDescent="0.25">
      <c r="B192" s="82" t="s">
        <v>276</v>
      </c>
      <c r="C192" s="37" t="s">
        <v>58</v>
      </c>
      <c r="D192" s="103" t="s">
        <v>59</v>
      </c>
      <c r="E192" s="124" t="s">
        <v>269</v>
      </c>
      <c r="F192" s="44"/>
      <c r="G192" s="39" t="s">
        <v>31</v>
      </c>
      <c r="H192" s="39">
        <v>4600002736</v>
      </c>
      <c r="I192" s="64">
        <v>61198164000160</v>
      </c>
      <c r="J192" s="85" t="s">
        <v>506</v>
      </c>
      <c r="K192" s="101" t="s">
        <v>404</v>
      </c>
      <c r="L192" s="40">
        <v>45747</v>
      </c>
      <c r="M192" s="49" t="s">
        <v>87</v>
      </c>
      <c r="N192" s="38" t="s">
        <v>61</v>
      </c>
      <c r="O192" s="37" t="s">
        <v>29</v>
      </c>
      <c r="P192" s="39" t="s">
        <v>10</v>
      </c>
      <c r="Q192" s="37" t="s">
        <v>29</v>
      </c>
      <c r="R192" s="43" t="s">
        <v>26</v>
      </c>
      <c r="S192" s="50" t="s">
        <v>29</v>
      </c>
      <c r="T192" s="51" t="s">
        <v>26</v>
      </c>
      <c r="U192" s="42" t="s">
        <v>88</v>
      </c>
      <c r="V192" s="42"/>
      <c r="W192" s="42"/>
      <c r="X192" s="42"/>
      <c r="Y192" s="42"/>
      <c r="Z192" s="44" t="s">
        <v>89</v>
      </c>
      <c r="AA192" s="39" t="s">
        <v>31</v>
      </c>
      <c r="AB192" s="118">
        <v>45658</v>
      </c>
    </row>
    <row r="193" spans="1:54" ht="21.75" hidden="1" customHeight="1" x14ac:dyDescent="0.25">
      <c r="B193" s="82" t="s">
        <v>276</v>
      </c>
      <c r="C193" s="37" t="s">
        <v>58</v>
      </c>
      <c r="D193" s="103" t="s">
        <v>59</v>
      </c>
      <c r="E193" s="124" t="s">
        <v>269</v>
      </c>
      <c r="F193" s="44"/>
      <c r="G193" s="39" t="s">
        <v>29</v>
      </c>
      <c r="H193" s="39">
        <v>4600002376</v>
      </c>
      <c r="I193" s="70">
        <v>5291905000181</v>
      </c>
      <c r="J193" s="85" t="s">
        <v>506</v>
      </c>
      <c r="K193" s="101" t="s">
        <v>330</v>
      </c>
      <c r="L193" s="40">
        <v>45720</v>
      </c>
      <c r="M193" s="49" t="s">
        <v>117</v>
      </c>
      <c r="N193" s="38" t="s">
        <v>61</v>
      </c>
      <c r="O193" s="37" t="s">
        <v>31</v>
      </c>
      <c r="P193" s="39" t="s">
        <v>294</v>
      </c>
      <c r="Q193" s="37" t="s">
        <v>29</v>
      </c>
      <c r="R193" s="43" t="s">
        <v>26</v>
      </c>
      <c r="S193" s="37" t="s">
        <v>29</v>
      </c>
      <c r="T193" s="40" t="s">
        <v>26</v>
      </c>
      <c r="U193" s="37" t="s">
        <v>31</v>
      </c>
      <c r="V193" s="43">
        <v>10.199999999999999</v>
      </c>
      <c r="W193" s="43">
        <v>30</v>
      </c>
      <c r="X193" s="37" t="s">
        <v>29</v>
      </c>
      <c r="Y193" s="39" t="s">
        <v>26</v>
      </c>
      <c r="Z193" s="44"/>
      <c r="AA193" s="39" t="s">
        <v>31</v>
      </c>
      <c r="AB193" s="118">
        <v>45658</v>
      </c>
    </row>
    <row r="194" spans="1:54" ht="30" hidden="1" x14ac:dyDescent="0.25">
      <c r="B194" s="82" t="s">
        <v>276</v>
      </c>
      <c r="C194" s="37" t="s">
        <v>74</v>
      </c>
      <c r="D194" s="103" t="s">
        <v>59</v>
      </c>
      <c r="E194" s="124" t="s">
        <v>269</v>
      </c>
      <c r="F194" s="44"/>
      <c r="G194" s="39" t="s">
        <v>29</v>
      </c>
      <c r="H194" s="39">
        <v>4600002838</v>
      </c>
      <c r="I194" s="70">
        <v>29673778000143</v>
      </c>
      <c r="J194" s="85" t="s">
        <v>512</v>
      </c>
      <c r="K194" s="101" t="s">
        <v>380</v>
      </c>
      <c r="L194" s="40">
        <v>45777</v>
      </c>
      <c r="M194" s="45" t="s">
        <v>492</v>
      </c>
      <c r="N194" s="38" t="s">
        <v>76</v>
      </c>
      <c r="O194" s="37" t="s">
        <v>31</v>
      </c>
      <c r="P194" s="39" t="s">
        <v>294</v>
      </c>
      <c r="Q194" s="37" t="s">
        <v>29</v>
      </c>
      <c r="R194" s="43" t="s">
        <v>26</v>
      </c>
      <c r="S194" s="37" t="s">
        <v>29</v>
      </c>
      <c r="T194" s="40" t="s">
        <v>26</v>
      </c>
      <c r="U194" s="37" t="s">
        <v>31</v>
      </c>
      <c r="V194" s="43">
        <v>10.199999999999999</v>
      </c>
      <c r="W194" s="43">
        <v>30</v>
      </c>
      <c r="X194" s="37" t="s">
        <v>29</v>
      </c>
      <c r="Y194" s="39" t="s">
        <v>26</v>
      </c>
      <c r="Z194" s="44"/>
      <c r="AA194" s="39" t="s">
        <v>31</v>
      </c>
      <c r="AB194" s="118">
        <v>45658</v>
      </c>
    </row>
    <row r="195" spans="1:54" ht="30" hidden="1" x14ac:dyDescent="0.25">
      <c r="B195" s="82" t="s">
        <v>276</v>
      </c>
      <c r="C195" s="37" t="s">
        <v>74</v>
      </c>
      <c r="D195" s="103" t="s">
        <v>59</v>
      </c>
      <c r="E195" s="124" t="s">
        <v>269</v>
      </c>
      <c r="F195" s="44"/>
      <c r="G195" s="39" t="s">
        <v>29</v>
      </c>
      <c r="H195" s="39">
        <v>4600002852</v>
      </c>
      <c r="I195" s="64">
        <v>29673778000143</v>
      </c>
      <c r="J195" s="85" t="s">
        <v>512</v>
      </c>
      <c r="K195" s="101" t="s">
        <v>380</v>
      </c>
      <c r="L195" s="40">
        <v>45777</v>
      </c>
      <c r="M195" s="45" t="s">
        <v>500</v>
      </c>
      <c r="N195" s="38" t="s">
        <v>76</v>
      </c>
      <c r="O195" s="37" t="s">
        <v>31</v>
      </c>
      <c r="P195" s="39" t="s">
        <v>294</v>
      </c>
      <c r="Q195" s="37" t="s">
        <v>29</v>
      </c>
      <c r="R195" s="43" t="s">
        <v>26</v>
      </c>
      <c r="S195" s="37" t="s">
        <v>29</v>
      </c>
      <c r="T195" s="40" t="s">
        <v>26</v>
      </c>
      <c r="U195" s="37" t="s">
        <v>31</v>
      </c>
      <c r="V195" s="43">
        <v>10.199999999999999</v>
      </c>
      <c r="W195" s="43">
        <v>30</v>
      </c>
      <c r="X195" s="37" t="s">
        <v>29</v>
      </c>
      <c r="Y195" s="39" t="s">
        <v>26</v>
      </c>
      <c r="Z195" s="44"/>
      <c r="AA195" s="39" t="s">
        <v>31</v>
      </c>
      <c r="AB195" s="118">
        <v>45658</v>
      </c>
    </row>
    <row r="196" spans="1:54" ht="30" hidden="1" x14ac:dyDescent="0.25">
      <c r="B196" s="82" t="s">
        <v>276</v>
      </c>
      <c r="C196" s="37" t="s">
        <v>74</v>
      </c>
      <c r="D196" s="103" t="s">
        <v>59</v>
      </c>
      <c r="E196" s="124" t="s">
        <v>269</v>
      </c>
      <c r="F196" s="44"/>
      <c r="G196" s="39" t="s">
        <v>29</v>
      </c>
      <c r="H196" s="39">
        <v>4600002856</v>
      </c>
      <c r="I196" s="64">
        <v>29673778000143</v>
      </c>
      <c r="J196" s="85" t="s">
        <v>512</v>
      </c>
      <c r="K196" s="101" t="s">
        <v>380</v>
      </c>
      <c r="L196" s="40">
        <v>45777</v>
      </c>
      <c r="M196" s="45" t="s">
        <v>488</v>
      </c>
      <c r="N196" s="38" t="s">
        <v>76</v>
      </c>
      <c r="O196" s="37" t="s">
        <v>31</v>
      </c>
      <c r="P196" s="39" t="s">
        <v>294</v>
      </c>
      <c r="Q196" s="37" t="s">
        <v>29</v>
      </c>
      <c r="R196" s="43" t="s">
        <v>26</v>
      </c>
      <c r="S196" s="37" t="s">
        <v>29</v>
      </c>
      <c r="T196" s="40" t="s">
        <v>26</v>
      </c>
      <c r="U196" s="37" t="s">
        <v>31</v>
      </c>
      <c r="V196" s="43">
        <v>10.199999999999999</v>
      </c>
      <c r="W196" s="43">
        <v>30</v>
      </c>
      <c r="X196" s="37" t="s">
        <v>29</v>
      </c>
      <c r="Y196" s="39" t="s">
        <v>26</v>
      </c>
      <c r="Z196" s="44"/>
      <c r="AA196" s="39" t="s">
        <v>31</v>
      </c>
      <c r="AB196" s="118">
        <v>45658</v>
      </c>
      <c r="AE196" s="69"/>
      <c r="AF196" s="69"/>
      <c r="AI196" s="69"/>
      <c r="AJ196" s="69"/>
      <c r="AN196" s="69"/>
      <c r="AO196" s="69"/>
      <c r="AP196" s="69"/>
    </row>
    <row r="197" spans="1:54" ht="30" hidden="1" x14ac:dyDescent="0.25">
      <c r="B197" s="82" t="s">
        <v>276</v>
      </c>
      <c r="C197" s="37" t="s">
        <v>74</v>
      </c>
      <c r="D197" s="103" t="s">
        <v>59</v>
      </c>
      <c r="E197" s="124" t="s">
        <v>269</v>
      </c>
      <c r="F197" s="44"/>
      <c r="G197" s="39" t="s">
        <v>29</v>
      </c>
      <c r="H197" s="39">
        <v>4600002858</v>
      </c>
      <c r="I197" s="70">
        <v>29673778000143</v>
      </c>
      <c r="J197" s="85" t="s">
        <v>512</v>
      </c>
      <c r="K197" s="101" t="s">
        <v>380</v>
      </c>
      <c r="L197" s="40">
        <v>45777</v>
      </c>
      <c r="M197" s="45" t="s">
        <v>490</v>
      </c>
      <c r="N197" s="38" t="s">
        <v>76</v>
      </c>
      <c r="O197" s="37" t="s">
        <v>31</v>
      </c>
      <c r="P197" s="39" t="s">
        <v>294</v>
      </c>
      <c r="Q197" s="37" t="s">
        <v>29</v>
      </c>
      <c r="R197" s="43" t="s">
        <v>26</v>
      </c>
      <c r="S197" s="37" t="s">
        <v>29</v>
      </c>
      <c r="T197" s="40" t="s">
        <v>26</v>
      </c>
      <c r="U197" s="37" t="s">
        <v>31</v>
      </c>
      <c r="V197" s="43">
        <v>10.199999999999999</v>
      </c>
      <c r="W197" s="43">
        <v>30</v>
      </c>
      <c r="X197" s="37" t="s">
        <v>29</v>
      </c>
      <c r="Y197" s="39" t="s">
        <v>26</v>
      </c>
      <c r="Z197" s="44"/>
      <c r="AA197" s="39" t="s">
        <v>31</v>
      </c>
      <c r="AB197" s="118">
        <v>45658</v>
      </c>
    </row>
    <row r="198" spans="1:54" ht="30" hidden="1" x14ac:dyDescent="0.25">
      <c r="B198" s="82" t="s">
        <v>276</v>
      </c>
      <c r="C198" s="37" t="s">
        <v>74</v>
      </c>
      <c r="D198" s="103" t="s">
        <v>59</v>
      </c>
      <c r="E198" s="124" t="s">
        <v>269</v>
      </c>
      <c r="F198" s="44"/>
      <c r="G198" s="39" t="s">
        <v>29</v>
      </c>
      <c r="H198" s="39">
        <v>4600002866</v>
      </c>
      <c r="I198" s="64">
        <v>29673778000143</v>
      </c>
      <c r="J198" s="85" t="s">
        <v>512</v>
      </c>
      <c r="K198" s="101" t="s">
        <v>380</v>
      </c>
      <c r="L198" s="40">
        <v>45808</v>
      </c>
      <c r="M198" s="45" t="s">
        <v>499</v>
      </c>
      <c r="N198" s="38" t="s">
        <v>76</v>
      </c>
      <c r="O198" s="37" t="s">
        <v>31</v>
      </c>
      <c r="P198" s="39" t="s">
        <v>294</v>
      </c>
      <c r="Q198" s="37" t="s">
        <v>29</v>
      </c>
      <c r="R198" s="43" t="s">
        <v>26</v>
      </c>
      <c r="S198" s="37" t="s">
        <v>29</v>
      </c>
      <c r="T198" s="40" t="s">
        <v>26</v>
      </c>
      <c r="U198" s="37" t="s">
        <v>31</v>
      </c>
      <c r="V198" s="43">
        <v>10.199999999999999</v>
      </c>
      <c r="W198" s="43">
        <v>30</v>
      </c>
      <c r="X198" s="37" t="s">
        <v>29</v>
      </c>
      <c r="Y198" s="39" t="s">
        <v>26</v>
      </c>
      <c r="Z198" s="44"/>
      <c r="AA198" s="39" t="s">
        <v>31</v>
      </c>
      <c r="AB198" s="118">
        <v>45658</v>
      </c>
    </row>
    <row r="199" spans="1:54" ht="30" hidden="1" x14ac:dyDescent="0.25">
      <c r="B199" s="82" t="s">
        <v>276</v>
      </c>
      <c r="C199" s="37" t="s">
        <v>74</v>
      </c>
      <c r="D199" s="103" t="s">
        <v>59</v>
      </c>
      <c r="E199" s="124" t="s">
        <v>269</v>
      </c>
      <c r="F199" s="44"/>
      <c r="G199" s="39" t="s">
        <v>29</v>
      </c>
      <c r="H199" s="39">
        <v>4600002875</v>
      </c>
      <c r="I199" s="64">
        <v>29673778000143</v>
      </c>
      <c r="J199" s="85" t="s">
        <v>512</v>
      </c>
      <c r="K199" s="101" t="s">
        <v>380</v>
      </c>
      <c r="L199" s="40">
        <v>45869</v>
      </c>
      <c r="M199" s="45" t="s">
        <v>493</v>
      </c>
      <c r="N199" s="38" t="s">
        <v>76</v>
      </c>
      <c r="O199" s="37" t="s">
        <v>31</v>
      </c>
      <c r="P199" s="39" t="s">
        <v>294</v>
      </c>
      <c r="Q199" s="37" t="s">
        <v>29</v>
      </c>
      <c r="R199" s="43" t="s">
        <v>26</v>
      </c>
      <c r="S199" s="37" t="s">
        <v>29</v>
      </c>
      <c r="T199" s="40" t="s">
        <v>26</v>
      </c>
      <c r="U199" s="37" t="s">
        <v>31</v>
      </c>
      <c r="V199" s="43">
        <v>10.199999999999999</v>
      </c>
      <c r="W199" s="43">
        <v>30</v>
      </c>
      <c r="X199" s="37" t="s">
        <v>29</v>
      </c>
      <c r="Y199" s="39" t="s">
        <v>26</v>
      </c>
      <c r="Z199" s="44"/>
      <c r="AA199" s="39" t="s">
        <v>31</v>
      </c>
      <c r="AB199" s="118">
        <v>45658</v>
      </c>
    </row>
    <row r="200" spans="1:54" ht="32.25" hidden="1" customHeight="1" x14ac:dyDescent="0.25">
      <c r="B200" s="82" t="s">
        <v>276</v>
      </c>
      <c r="C200" s="37" t="s">
        <v>58</v>
      </c>
      <c r="D200" s="103" t="s">
        <v>59</v>
      </c>
      <c r="E200" s="124" t="s">
        <v>269</v>
      </c>
      <c r="F200" s="44"/>
      <c r="G200" s="39" t="s">
        <v>29</v>
      </c>
      <c r="H200" s="39">
        <v>4600002743</v>
      </c>
      <c r="I200" s="64">
        <v>21314559000166</v>
      </c>
      <c r="J200" s="85" t="s">
        <v>506</v>
      </c>
      <c r="K200" s="101" t="s">
        <v>362</v>
      </c>
      <c r="L200" s="40">
        <v>46203</v>
      </c>
      <c r="M200" s="49" t="s">
        <v>482</v>
      </c>
      <c r="N200" s="38" t="s">
        <v>61</v>
      </c>
      <c r="O200" s="37" t="s">
        <v>31</v>
      </c>
      <c r="P200" s="39" t="s">
        <v>294</v>
      </c>
      <c r="Q200" s="37" t="s">
        <v>29</v>
      </c>
      <c r="R200" s="43" t="s">
        <v>26</v>
      </c>
      <c r="S200" s="37" t="s">
        <v>29</v>
      </c>
      <c r="T200" s="40" t="s">
        <v>26</v>
      </c>
      <c r="U200" s="37" t="s">
        <v>31</v>
      </c>
      <c r="V200" s="43">
        <v>10.199999999999999</v>
      </c>
      <c r="W200" s="43">
        <v>30</v>
      </c>
      <c r="X200" s="37" t="s">
        <v>31</v>
      </c>
      <c r="Y200" s="48">
        <v>0.2</v>
      </c>
      <c r="Z200" s="44"/>
      <c r="AA200" s="39" t="s">
        <v>31</v>
      </c>
      <c r="AB200" s="118">
        <v>45658</v>
      </c>
    </row>
    <row r="201" spans="1:54" ht="30" hidden="1" x14ac:dyDescent="0.25">
      <c r="B201" s="82" t="s">
        <v>276</v>
      </c>
      <c r="C201" s="37" t="s">
        <v>74</v>
      </c>
      <c r="D201" s="103" t="s">
        <v>59</v>
      </c>
      <c r="E201" s="124" t="s">
        <v>269</v>
      </c>
      <c r="F201" s="44"/>
      <c r="G201" s="39" t="s">
        <v>29</v>
      </c>
      <c r="H201" s="39">
        <v>4600002814</v>
      </c>
      <c r="I201" s="64">
        <v>2935467000159</v>
      </c>
      <c r="J201" s="85" t="s">
        <v>553</v>
      </c>
      <c r="K201" s="101" t="s">
        <v>315</v>
      </c>
      <c r="L201" s="40">
        <v>45981</v>
      </c>
      <c r="M201" s="45" t="s">
        <v>497</v>
      </c>
      <c r="N201" s="38" t="s">
        <v>95</v>
      </c>
      <c r="O201" s="37" t="s">
        <v>31</v>
      </c>
      <c r="P201" s="39" t="s">
        <v>294</v>
      </c>
      <c r="Q201" s="37" t="s">
        <v>29</v>
      </c>
      <c r="R201" s="43" t="s">
        <v>26</v>
      </c>
      <c r="S201" s="37" t="s">
        <v>29</v>
      </c>
      <c r="T201" s="40" t="s">
        <v>26</v>
      </c>
      <c r="U201" s="37" t="s">
        <v>31</v>
      </c>
      <c r="V201" s="43">
        <v>10.199999999999999</v>
      </c>
      <c r="W201" s="43">
        <v>30</v>
      </c>
      <c r="X201" s="37" t="s">
        <v>29</v>
      </c>
      <c r="Y201" s="39"/>
      <c r="Z201" s="44"/>
      <c r="AA201" s="39" t="s">
        <v>31</v>
      </c>
      <c r="AB201" s="118">
        <v>45658</v>
      </c>
    </row>
    <row r="202" spans="1:54" s="105" customFormat="1" ht="90" x14ac:dyDescent="0.25">
      <c r="A202" s="1"/>
      <c r="B202" s="82" t="s">
        <v>276</v>
      </c>
      <c r="C202" s="37" t="s">
        <v>58</v>
      </c>
      <c r="D202" s="103" t="s">
        <v>59</v>
      </c>
      <c r="E202" s="124" t="s">
        <v>269</v>
      </c>
      <c r="F202" s="44"/>
      <c r="G202" s="39" t="s">
        <v>31</v>
      </c>
      <c r="H202" s="39">
        <v>4600002970</v>
      </c>
      <c r="I202" s="64">
        <v>6025418000130</v>
      </c>
      <c r="J202" s="85" t="s">
        <v>506</v>
      </c>
      <c r="K202" s="101" t="s">
        <v>335</v>
      </c>
      <c r="L202" s="40">
        <v>46568</v>
      </c>
      <c r="M202" s="49" t="s">
        <v>60</v>
      </c>
      <c r="N202" s="38" t="s">
        <v>61</v>
      </c>
      <c r="O202" s="37" t="s">
        <v>31</v>
      </c>
      <c r="P202" s="39" t="s">
        <v>294</v>
      </c>
      <c r="Q202" s="37" t="s">
        <v>29</v>
      </c>
      <c r="R202" s="43" t="s">
        <v>26</v>
      </c>
      <c r="S202" s="37" t="s">
        <v>29</v>
      </c>
      <c r="T202" s="40" t="s">
        <v>26</v>
      </c>
      <c r="U202" s="37" t="s">
        <v>31</v>
      </c>
      <c r="V202" s="43">
        <v>10</v>
      </c>
      <c r="W202" s="43">
        <v>120</v>
      </c>
      <c r="X202" s="37" t="s">
        <v>31</v>
      </c>
      <c r="Y202" s="48">
        <v>0.5</v>
      </c>
      <c r="Z202" s="44" t="s">
        <v>62</v>
      </c>
      <c r="AA202" s="39" t="s">
        <v>31</v>
      </c>
      <c r="AB202" s="118">
        <v>45658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idden="1" x14ac:dyDescent="0.25">
      <c r="B203" s="82" t="s">
        <v>276</v>
      </c>
      <c r="C203" s="37" t="s">
        <v>74</v>
      </c>
      <c r="D203" s="103" t="s">
        <v>59</v>
      </c>
      <c r="E203" s="124" t="s">
        <v>269</v>
      </c>
      <c r="F203" s="44"/>
      <c r="G203" s="39" t="s">
        <v>29</v>
      </c>
      <c r="H203" s="39">
        <v>4600002839</v>
      </c>
      <c r="I203" s="64">
        <v>23211179000121</v>
      </c>
      <c r="J203" s="85" t="s">
        <v>512</v>
      </c>
      <c r="K203" s="101" t="s">
        <v>365</v>
      </c>
      <c r="L203" s="40">
        <v>45777</v>
      </c>
      <c r="M203" s="45" t="s">
        <v>492</v>
      </c>
      <c r="N203" s="38" t="s">
        <v>76</v>
      </c>
      <c r="O203" s="37" t="s">
        <v>31</v>
      </c>
      <c r="P203" s="39" t="s">
        <v>294</v>
      </c>
      <c r="Q203" s="37" t="s">
        <v>29</v>
      </c>
      <c r="R203" s="43" t="s">
        <v>26</v>
      </c>
      <c r="S203" s="37" t="s">
        <v>29</v>
      </c>
      <c r="T203" s="40" t="s">
        <v>26</v>
      </c>
      <c r="U203" s="37" t="s">
        <v>31</v>
      </c>
      <c r="V203" s="43">
        <v>10.199999999999999</v>
      </c>
      <c r="W203" s="43">
        <v>30</v>
      </c>
      <c r="X203" s="37" t="s">
        <v>29</v>
      </c>
      <c r="Y203" s="39" t="s">
        <v>26</v>
      </c>
      <c r="Z203" s="44"/>
      <c r="AA203" s="39" t="s">
        <v>31</v>
      </c>
      <c r="AB203" s="118">
        <v>45658</v>
      </c>
      <c r="AE203" s="69"/>
      <c r="AF203" s="69"/>
      <c r="AI203" s="69"/>
      <c r="AJ203" s="69"/>
      <c r="AN203" s="69"/>
      <c r="AO203" s="69"/>
      <c r="AP203" s="69"/>
    </row>
    <row r="204" spans="1:54" hidden="1" x14ac:dyDescent="0.25">
      <c r="B204" s="82" t="s">
        <v>276</v>
      </c>
      <c r="C204" s="37" t="s">
        <v>74</v>
      </c>
      <c r="D204" s="103" t="s">
        <v>59</v>
      </c>
      <c r="E204" s="124" t="s">
        <v>269</v>
      </c>
      <c r="F204" s="44"/>
      <c r="G204" s="39" t="s">
        <v>29</v>
      </c>
      <c r="H204" s="39">
        <v>4600002855</v>
      </c>
      <c r="I204" s="64">
        <v>23211179000121</v>
      </c>
      <c r="J204" s="85" t="s">
        <v>512</v>
      </c>
      <c r="K204" s="101" t="s">
        <v>365</v>
      </c>
      <c r="L204" s="40">
        <v>45777</v>
      </c>
      <c r="M204" s="45" t="s">
        <v>488</v>
      </c>
      <c r="N204" s="38" t="s">
        <v>76</v>
      </c>
      <c r="O204" s="37" t="s">
        <v>31</v>
      </c>
      <c r="P204" s="39" t="s">
        <v>294</v>
      </c>
      <c r="Q204" s="37" t="s">
        <v>29</v>
      </c>
      <c r="R204" s="43" t="s">
        <v>26</v>
      </c>
      <c r="S204" s="37" t="s">
        <v>29</v>
      </c>
      <c r="T204" s="40" t="s">
        <v>26</v>
      </c>
      <c r="U204" s="37" t="s">
        <v>31</v>
      </c>
      <c r="V204" s="43">
        <v>10.199999999999999</v>
      </c>
      <c r="W204" s="43">
        <v>30</v>
      </c>
      <c r="X204" s="37" t="s">
        <v>29</v>
      </c>
      <c r="Y204" s="39" t="s">
        <v>26</v>
      </c>
      <c r="Z204" s="44"/>
      <c r="AA204" s="39" t="s">
        <v>31</v>
      </c>
      <c r="AB204" s="118">
        <v>45658</v>
      </c>
      <c r="AE204" s="69"/>
      <c r="AF204" s="69"/>
      <c r="AI204" s="69"/>
      <c r="AJ204" s="69"/>
      <c r="AN204" s="69"/>
      <c r="AO204" s="69"/>
      <c r="AP204" s="69"/>
    </row>
    <row r="205" spans="1:54" hidden="1" x14ac:dyDescent="0.25">
      <c r="B205" s="82" t="s">
        <v>276</v>
      </c>
      <c r="C205" s="37" t="s">
        <v>74</v>
      </c>
      <c r="D205" s="103" t="s">
        <v>59</v>
      </c>
      <c r="E205" s="124" t="s">
        <v>269</v>
      </c>
      <c r="F205" s="44"/>
      <c r="G205" s="39" t="s">
        <v>29</v>
      </c>
      <c r="H205" s="39">
        <v>4600002860</v>
      </c>
      <c r="I205" s="64">
        <v>23211179000121</v>
      </c>
      <c r="J205" s="85" t="s">
        <v>512</v>
      </c>
      <c r="K205" s="101" t="s">
        <v>365</v>
      </c>
      <c r="L205" s="40">
        <v>45777</v>
      </c>
      <c r="M205" s="45" t="s">
        <v>490</v>
      </c>
      <c r="N205" s="38" t="s">
        <v>76</v>
      </c>
      <c r="O205" s="37" t="s">
        <v>31</v>
      </c>
      <c r="P205" s="39" t="s">
        <v>294</v>
      </c>
      <c r="Q205" s="37" t="s">
        <v>29</v>
      </c>
      <c r="R205" s="43" t="s">
        <v>26</v>
      </c>
      <c r="S205" s="37" t="s">
        <v>29</v>
      </c>
      <c r="T205" s="40" t="s">
        <v>26</v>
      </c>
      <c r="U205" s="37" t="s">
        <v>31</v>
      </c>
      <c r="V205" s="43">
        <v>10.199999999999999</v>
      </c>
      <c r="W205" s="43">
        <v>30</v>
      </c>
      <c r="X205" s="37" t="s">
        <v>29</v>
      </c>
      <c r="Y205" s="39" t="s">
        <v>26</v>
      </c>
      <c r="Z205" s="44"/>
      <c r="AA205" s="39" t="s">
        <v>31</v>
      </c>
      <c r="AB205" s="118">
        <v>45658</v>
      </c>
    </row>
    <row r="206" spans="1:54" ht="30" hidden="1" x14ac:dyDescent="0.25">
      <c r="B206" s="82" t="s">
        <v>276</v>
      </c>
      <c r="C206" s="37" t="s">
        <v>74</v>
      </c>
      <c r="D206" s="103" t="s">
        <v>59</v>
      </c>
      <c r="E206" s="124" t="s">
        <v>269</v>
      </c>
      <c r="F206" s="44"/>
      <c r="G206" s="39" t="s">
        <v>29</v>
      </c>
      <c r="H206" s="39">
        <v>4600002864</v>
      </c>
      <c r="I206" s="64">
        <v>23211179000121</v>
      </c>
      <c r="J206" s="85" t="s">
        <v>512</v>
      </c>
      <c r="K206" s="101" t="s">
        <v>365</v>
      </c>
      <c r="L206" s="40">
        <v>45808</v>
      </c>
      <c r="M206" s="45" t="s">
        <v>491</v>
      </c>
      <c r="N206" s="38" t="s">
        <v>76</v>
      </c>
      <c r="O206" s="37" t="s">
        <v>31</v>
      </c>
      <c r="P206" s="39" t="s">
        <v>294</v>
      </c>
      <c r="Q206" s="37" t="s">
        <v>29</v>
      </c>
      <c r="R206" s="43" t="s">
        <v>26</v>
      </c>
      <c r="S206" s="37" t="s">
        <v>29</v>
      </c>
      <c r="T206" s="40" t="s">
        <v>26</v>
      </c>
      <c r="U206" s="37" t="s">
        <v>31</v>
      </c>
      <c r="V206" s="43">
        <v>10.199999999999999</v>
      </c>
      <c r="W206" s="43">
        <v>30</v>
      </c>
      <c r="X206" s="37" t="s">
        <v>29</v>
      </c>
      <c r="Y206" s="39" t="s">
        <v>26</v>
      </c>
      <c r="Z206" s="44"/>
      <c r="AA206" s="39" t="s">
        <v>31</v>
      </c>
      <c r="AB206" s="118">
        <v>45658</v>
      </c>
    </row>
    <row r="207" spans="1:54" ht="30" hidden="1" x14ac:dyDescent="0.25">
      <c r="B207" s="82" t="s">
        <v>276</v>
      </c>
      <c r="C207" s="37" t="s">
        <v>74</v>
      </c>
      <c r="D207" s="103" t="s">
        <v>59</v>
      </c>
      <c r="E207" s="124" t="s">
        <v>269</v>
      </c>
      <c r="F207" s="44"/>
      <c r="G207" s="39" t="s">
        <v>29</v>
      </c>
      <c r="H207" s="39">
        <v>4600002873</v>
      </c>
      <c r="I207" s="64">
        <v>23211179000121</v>
      </c>
      <c r="J207" s="85" t="s">
        <v>512</v>
      </c>
      <c r="K207" s="101" t="s">
        <v>365</v>
      </c>
      <c r="L207" s="40">
        <v>45808</v>
      </c>
      <c r="M207" s="45" t="s">
        <v>489</v>
      </c>
      <c r="N207" s="38" t="s">
        <v>76</v>
      </c>
      <c r="O207" s="37" t="s">
        <v>31</v>
      </c>
      <c r="P207" s="39" t="s">
        <v>294</v>
      </c>
      <c r="Q207" s="37" t="s">
        <v>29</v>
      </c>
      <c r="R207" s="43" t="s">
        <v>26</v>
      </c>
      <c r="S207" s="37" t="s">
        <v>29</v>
      </c>
      <c r="T207" s="40" t="s">
        <v>26</v>
      </c>
      <c r="U207" s="37" t="s">
        <v>31</v>
      </c>
      <c r="V207" s="43">
        <v>10.199999999999999</v>
      </c>
      <c r="W207" s="43">
        <v>30</v>
      </c>
      <c r="X207" s="37" t="s">
        <v>29</v>
      </c>
      <c r="Y207" s="39" t="s">
        <v>26</v>
      </c>
      <c r="Z207" s="44"/>
      <c r="AA207" s="39" t="s">
        <v>31</v>
      </c>
      <c r="AB207" s="118">
        <v>45658</v>
      </c>
      <c r="AE207" s="69"/>
      <c r="AF207" s="69"/>
      <c r="AI207" s="69"/>
      <c r="AJ207" s="69"/>
      <c r="AN207" s="69"/>
      <c r="AO207" s="69"/>
      <c r="AP207" s="69"/>
    </row>
    <row r="208" spans="1:54" ht="30" hidden="1" x14ac:dyDescent="0.25">
      <c r="B208" s="82" t="s">
        <v>276</v>
      </c>
      <c r="C208" s="37" t="s">
        <v>74</v>
      </c>
      <c r="D208" s="103" t="s">
        <v>59</v>
      </c>
      <c r="E208" s="124" t="s">
        <v>269</v>
      </c>
      <c r="F208" s="44"/>
      <c r="G208" s="39" t="s">
        <v>29</v>
      </c>
      <c r="H208" s="39">
        <v>4600002874</v>
      </c>
      <c r="I208" s="64">
        <v>23211179000121</v>
      </c>
      <c r="J208" s="85" t="s">
        <v>512</v>
      </c>
      <c r="K208" s="101" t="s">
        <v>365</v>
      </c>
      <c r="L208" s="40">
        <v>45869</v>
      </c>
      <c r="M208" s="45" t="s">
        <v>493</v>
      </c>
      <c r="N208" s="38" t="s">
        <v>76</v>
      </c>
      <c r="O208" s="37" t="s">
        <v>31</v>
      </c>
      <c r="P208" s="39" t="s">
        <v>294</v>
      </c>
      <c r="Q208" s="37" t="s">
        <v>29</v>
      </c>
      <c r="R208" s="43" t="s">
        <v>26</v>
      </c>
      <c r="S208" s="37" t="s">
        <v>29</v>
      </c>
      <c r="T208" s="40" t="s">
        <v>26</v>
      </c>
      <c r="U208" s="37" t="s">
        <v>31</v>
      </c>
      <c r="V208" s="43">
        <v>10.199999999999999</v>
      </c>
      <c r="W208" s="43">
        <v>30</v>
      </c>
      <c r="X208" s="37" t="s">
        <v>29</v>
      </c>
      <c r="Y208" s="39" t="s">
        <v>26</v>
      </c>
      <c r="Z208" s="44"/>
      <c r="AA208" s="39" t="s">
        <v>31</v>
      </c>
      <c r="AB208" s="118">
        <v>45658</v>
      </c>
    </row>
    <row r="209" spans="1:54" ht="30" hidden="1" x14ac:dyDescent="0.25">
      <c r="B209" s="82" t="s">
        <v>276</v>
      </c>
      <c r="C209" s="37" t="s">
        <v>74</v>
      </c>
      <c r="D209" s="103" t="s">
        <v>59</v>
      </c>
      <c r="E209" s="124" t="s">
        <v>269</v>
      </c>
      <c r="F209" s="44"/>
      <c r="G209" s="39" t="s">
        <v>29</v>
      </c>
      <c r="H209" s="39">
        <v>4600002792</v>
      </c>
      <c r="I209" s="64">
        <v>23211179000121</v>
      </c>
      <c r="J209" s="85" t="s">
        <v>512</v>
      </c>
      <c r="K209" s="101" t="s">
        <v>365</v>
      </c>
      <c r="L209" s="40">
        <v>45838</v>
      </c>
      <c r="M209" s="45" t="s">
        <v>484</v>
      </c>
      <c r="N209" s="38" t="s">
        <v>76</v>
      </c>
      <c r="O209" s="37" t="s">
        <v>31</v>
      </c>
      <c r="P209" s="39" t="s">
        <v>294</v>
      </c>
      <c r="Q209" s="37" t="s">
        <v>29</v>
      </c>
      <c r="R209" s="43" t="s">
        <v>26</v>
      </c>
      <c r="S209" s="37" t="s">
        <v>29</v>
      </c>
      <c r="T209" s="40" t="s">
        <v>26</v>
      </c>
      <c r="U209" s="37" t="s">
        <v>31</v>
      </c>
      <c r="V209" s="43">
        <v>10.199999999999999</v>
      </c>
      <c r="W209" s="43">
        <v>30</v>
      </c>
      <c r="X209" s="37" t="s">
        <v>29</v>
      </c>
      <c r="Y209" s="39" t="s">
        <v>26</v>
      </c>
      <c r="Z209" s="44"/>
      <c r="AA209" s="39" t="s">
        <v>31</v>
      </c>
      <c r="AB209" s="118">
        <v>45658</v>
      </c>
    </row>
    <row r="210" spans="1:54" hidden="1" x14ac:dyDescent="0.25">
      <c r="B210" s="82" t="s">
        <v>276</v>
      </c>
      <c r="C210" s="37" t="s">
        <v>74</v>
      </c>
      <c r="D210" s="103" t="s">
        <v>59</v>
      </c>
      <c r="E210" s="124" t="s">
        <v>269</v>
      </c>
      <c r="F210" s="44"/>
      <c r="G210" s="39" t="s">
        <v>29</v>
      </c>
      <c r="H210" s="39">
        <v>4600002833</v>
      </c>
      <c r="I210" s="64">
        <v>23211179000121</v>
      </c>
      <c r="J210" s="85" t="s">
        <v>512</v>
      </c>
      <c r="K210" s="101" t="s">
        <v>365</v>
      </c>
      <c r="L210" s="40">
        <v>46112</v>
      </c>
      <c r="M210" s="49" t="s">
        <v>483</v>
      </c>
      <c r="N210" s="38" t="s">
        <v>76</v>
      </c>
      <c r="O210" s="37" t="s">
        <v>31</v>
      </c>
      <c r="P210" s="39" t="s">
        <v>294</v>
      </c>
      <c r="Q210" s="37" t="s">
        <v>29</v>
      </c>
      <c r="R210" s="43" t="s">
        <v>26</v>
      </c>
      <c r="S210" s="37" t="s">
        <v>29</v>
      </c>
      <c r="T210" s="40" t="s">
        <v>26</v>
      </c>
      <c r="U210" s="37" t="s">
        <v>31</v>
      </c>
      <c r="V210" s="43">
        <v>10.199999999999999</v>
      </c>
      <c r="W210" s="43">
        <v>30</v>
      </c>
      <c r="X210" s="37" t="s">
        <v>29</v>
      </c>
      <c r="Y210" s="39" t="s">
        <v>26</v>
      </c>
      <c r="Z210" s="44"/>
      <c r="AA210" s="39" t="s">
        <v>31</v>
      </c>
      <c r="AB210" s="118">
        <v>45658</v>
      </c>
    </row>
    <row r="211" spans="1:54" hidden="1" x14ac:dyDescent="0.25">
      <c r="B211" s="82" t="s">
        <v>276</v>
      </c>
      <c r="C211" s="37" t="s">
        <v>84</v>
      </c>
      <c r="D211" s="103" t="s">
        <v>59</v>
      </c>
      <c r="E211" s="124" t="s">
        <v>269</v>
      </c>
      <c r="F211" s="44"/>
      <c r="G211" s="44" t="s">
        <v>29</v>
      </c>
      <c r="H211" s="39">
        <v>4600002842</v>
      </c>
      <c r="I211" s="64">
        <v>23211179000121</v>
      </c>
      <c r="J211" s="85" t="s">
        <v>514</v>
      </c>
      <c r="K211" s="101" t="s">
        <v>365</v>
      </c>
      <c r="L211" s="40">
        <v>46660</v>
      </c>
      <c r="M211" s="49" t="s">
        <v>80</v>
      </c>
      <c r="N211" s="38" t="s">
        <v>76</v>
      </c>
      <c r="O211" s="37" t="s">
        <v>31</v>
      </c>
      <c r="P211" s="39" t="s">
        <v>294</v>
      </c>
      <c r="Q211" s="37" t="s">
        <v>29</v>
      </c>
      <c r="R211" s="43" t="s">
        <v>26</v>
      </c>
      <c r="S211" s="37" t="s">
        <v>29</v>
      </c>
      <c r="T211" s="40" t="s">
        <v>26</v>
      </c>
      <c r="U211" s="37" t="s">
        <v>31</v>
      </c>
      <c r="V211" s="43">
        <v>10.199999999999999</v>
      </c>
      <c r="W211" s="43">
        <v>30</v>
      </c>
      <c r="X211" s="37" t="s">
        <v>29</v>
      </c>
      <c r="Y211" s="39" t="s">
        <v>26</v>
      </c>
      <c r="Z211" s="44"/>
      <c r="AA211" s="39" t="s">
        <v>31</v>
      </c>
      <c r="AB211" s="118">
        <v>45658</v>
      </c>
    </row>
    <row r="212" spans="1:54" ht="21.75" customHeight="1" x14ac:dyDescent="0.25">
      <c r="B212" s="82" t="s">
        <v>276</v>
      </c>
      <c r="C212" s="37" t="s">
        <v>100</v>
      </c>
      <c r="D212" s="103" t="s">
        <v>101</v>
      </c>
      <c r="E212" s="124" t="s">
        <v>269</v>
      </c>
      <c r="F212" s="44"/>
      <c r="G212" s="39" t="s">
        <v>31</v>
      </c>
      <c r="H212" s="39">
        <v>4600002879</v>
      </c>
      <c r="I212" s="64">
        <v>30523207000101</v>
      </c>
      <c r="J212" s="85" t="s">
        <v>508</v>
      </c>
      <c r="K212" s="101" t="s">
        <v>382</v>
      </c>
      <c r="L212" s="40">
        <v>46357</v>
      </c>
      <c r="M212" s="49" t="s">
        <v>102</v>
      </c>
      <c r="N212" s="38" t="s">
        <v>61</v>
      </c>
      <c r="O212" s="37" t="s">
        <v>31</v>
      </c>
      <c r="P212" s="39" t="s">
        <v>294</v>
      </c>
      <c r="Q212" s="37" t="s">
        <v>29</v>
      </c>
      <c r="R212" s="43" t="s">
        <v>26</v>
      </c>
      <c r="S212" s="37" t="s">
        <v>29</v>
      </c>
      <c r="T212" s="40" t="s">
        <v>26</v>
      </c>
      <c r="U212" s="37" t="s">
        <v>31</v>
      </c>
      <c r="V212" s="43">
        <v>10.199999999999999</v>
      </c>
      <c r="W212" s="43">
        <v>30</v>
      </c>
      <c r="X212" s="37" t="s">
        <v>29</v>
      </c>
      <c r="Y212" s="39" t="s">
        <v>26</v>
      </c>
      <c r="Z212" s="44"/>
      <c r="AA212" s="39" t="s">
        <v>31</v>
      </c>
      <c r="AB212" s="118">
        <v>45658</v>
      </c>
    </row>
    <row r="213" spans="1:54" ht="45" hidden="1" x14ac:dyDescent="0.25">
      <c r="B213" s="82" t="s">
        <v>276</v>
      </c>
      <c r="C213" s="37" t="s">
        <v>84</v>
      </c>
      <c r="D213" s="103" t="s">
        <v>59</v>
      </c>
      <c r="E213" s="124" t="s">
        <v>269</v>
      </c>
      <c r="F213" s="44"/>
      <c r="G213" s="44" t="s">
        <v>29</v>
      </c>
      <c r="H213" s="39">
        <v>4600002895</v>
      </c>
      <c r="I213" s="64">
        <v>24553897000149</v>
      </c>
      <c r="J213" s="85" t="s">
        <v>552</v>
      </c>
      <c r="K213" s="101" t="s">
        <v>370</v>
      </c>
      <c r="L213" s="40">
        <v>46053</v>
      </c>
      <c r="M213" s="56" t="s">
        <v>257</v>
      </c>
      <c r="N213" s="38" t="s">
        <v>76</v>
      </c>
      <c r="O213" s="37" t="s">
        <v>31</v>
      </c>
      <c r="P213" s="39" t="s">
        <v>294</v>
      </c>
      <c r="Q213" s="37" t="s">
        <v>29</v>
      </c>
      <c r="R213" s="43" t="s">
        <v>26</v>
      </c>
      <c r="S213" s="37" t="s">
        <v>29</v>
      </c>
      <c r="T213" s="40" t="s">
        <v>26</v>
      </c>
      <c r="U213" s="37" t="s">
        <v>31</v>
      </c>
      <c r="V213" s="43">
        <v>10.199999999999999</v>
      </c>
      <c r="W213" s="43">
        <v>30</v>
      </c>
      <c r="X213" s="37" t="s">
        <v>29</v>
      </c>
      <c r="Y213" s="39" t="s">
        <v>26</v>
      </c>
      <c r="Z213" s="44"/>
      <c r="AA213" s="39" t="s">
        <v>31</v>
      </c>
      <c r="AB213" s="118">
        <v>45658</v>
      </c>
    </row>
    <row r="214" spans="1:54" hidden="1" x14ac:dyDescent="0.25">
      <c r="B214" s="82" t="s">
        <v>276</v>
      </c>
      <c r="C214" s="37" t="s">
        <v>84</v>
      </c>
      <c r="D214" s="103" t="s">
        <v>59</v>
      </c>
      <c r="E214" s="123" t="s">
        <v>268</v>
      </c>
      <c r="F214" s="44" t="s">
        <v>479</v>
      </c>
      <c r="G214" s="44"/>
      <c r="H214" s="39">
        <v>4600002935</v>
      </c>
      <c r="I214" s="64">
        <v>33557820000138</v>
      </c>
      <c r="J214" s="85" t="s">
        <v>476</v>
      </c>
      <c r="K214" s="101" t="s">
        <v>388</v>
      </c>
      <c r="L214" s="40">
        <v>46021</v>
      </c>
      <c r="M214" s="49" t="s">
        <v>77</v>
      </c>
      <c r="N214" s="38" t="s">
        <v>76</v>
      </c>
      <c r="O214" s="37" t="s">
        <v>31</v>
      </c>
      <c r="P214" s="39" t="s">
        <v>294</v>
      </c>
      <c r="Q214" s="37" t="s">
        <v>29</v>
      </c>
      <c r="R214" s="43" t="s">
        <v>26</v>
      </c>
      <c r="S214" s="37" t="s">
        <v>29</v>
      </c>
      <c r="T214" s="40" t="s">
        <v>26</v>
      </c>
      <c r="U214" s="37" t="s">
        <v>31</v>
      </c>
      <c r="V214" s="43">
        <v>10.199999999999999</v>
      </c>
      <c r="W214" s="43">
        <v>60</v>
      </c>
      <c r="X214" s="37" t="s">
        <v>29</v>
      </c>
      <c r="Y214" s="39" t="s">
        <v>78</v>
      </c>
      <c r="Z214" s="44"/>
      <c r="AA214" s="39" t="s">
        <v>31</v>
      </c>
      <c r="AB214" s="118">
        <v>45658</v>
      </c>
    </row>
    <row r="215" spans="1:54" ht="30" hidden="1" x14ac:dyDescent="0.25">
      <c r="A215" s="105"/>
      <c r="B215" s="82" t="s">
        <v>276</v>
      </c>
      <c r="C215" s="99" t="s">
        <v>74</v>
      </c>
      <c r="D215" s="103" t="s">
        <v>59</v>
      </c>
      <c r="E215" s="124" t="s">
        <v>269</v>
      </c>
      <c r="F215" s="44"/>
      <c r="G215" s="39" t="s">
        <v>29</v>
      </c>
      <c r="H215" s="100">
        <v>4600002871</v>
      </c>
      <c r="I215" s="113">
        <v>21370554000150</v>
      </c>
      <c r="J215" s="85" t="s">
        <v>512</v>
      </c>
      <c r="K215" s="101" t="s">
        <v>363</v>
      </c>
      <c r="L215" s="102">
        <v>45808</v>
      </c>
      <c r="M215" s="56" t="s">
        <v>489</v>
      </c>
      <c r="N215" s="103" t="s">
        <v>76</v>
      </c>
      <c r="O215" s="99" t="s">
        <v>31</v>
      </c>
      <c r="P215" s="100" t="s">
        <v>294</v>
      </c>
      <c r="Q215" s="99" t="s">
        <v>29</v>
      </c>
      <c r="R215" s="99" t="s">
        <v>26</v>
      </c>
      <c r="S215" s="99" t="s">
        <v>29</v>
      </c>
      <c r="T215" s="102" t="s">
        <v>26</v>
      </c>
      <c r="U215" s="99" t="s">
        <v>31</v>
      </c>
      <c r="V215" s="99">
        <v>10.199999999999999</v>
      </c>
      <c r="W215" s="99">
        <v>30</v>
      </c>
      <c r="X215" s="99" t="s">
        <v>29</v>
      </c>
      <c r="Y215" s="100" t="s">
        <v>26</v>
      </c>
      <c r="Z215" s="104"/>
      <c r="AA215" s="100" t="s">
        <v>31</v>
      </c>
      <c r="AB215" s="118">
        <v>45658</v>
      </c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</row>
    <row r="216" spans="1:54" ht="30" hidden="1" x14ac:dyDescent="0.25">
      <c r="B216" s="82" t="s">
        <v>276</v>
      </c>
      <c r="C216" s="37" t="s">
        <v>84</v>
      </c>
      <c r="D216" s="103" t="s">
        <v>59</v>
      </c>
      <c r="E216" s="124" t="s">
        <v>269</v>
      </c>
      <c r="F216" s="44"/>
      <c r="G216" s="44" t="s">
        <v>29</v>
      </c>
      <c r="H216" s="39">
        <v>4600003018</v>
      </c>
      <c r="I216" s="64">
        <v>2426907000908</v>
      </c>
      <c r="J216" s="85" t="s">
        <v>476</v>
      </c>
      <c r="K216" s="101" t="s">
        <v>314</v>
      </c>
      <c r="L216" s="40">
        <v>46730</v>
      </c>
      <c r="M216" s="49" t="s">
        <v>94</v>
      </c>
      <c r="N216" s="38" t="s">
        <v>95</v>
      </c>
      <c r="O216" s="37" t="s">
        <v>31</v>
      </c>
      <c r="P216" s="39" t="s">
        <v>294</v>
      </c>
      <c r="Q216" s="37" t="s">
        <v>29</v>
      </c>
      <c r="R216" s="43" t="s">
        <v>26</v>
      </c>
      <c r="S216" s="37" t="s">
        <v>29</v>
      </c>
      <c r="T216" s="40" t="s">
        <v>26</v>
      </c>
      <c r="U216" s="37" t="s">
        <v>31</v>
      </c>
      <c r="V216" s="43">
        <v>10.199999999999999</v>
      </c>
      <c r="W216" s="43">
        <v>30</v>
      </c>
      <c r="X216" s="37" t="s">
        <v>29</v>
      </c>
      <c r="Y216" s="39" t="s">
        <v>26</v>
      </c>
      <c r="Z216" s="44"/>
      <c r="AA216" s="39" t="s">
        <v>31</v>
      </c>
      <c r="AB216" s="118">
        <v>45658</v>
      </c>
    </row>
    <row r="217" spans="1:54" ht="30" hidden="1" x14ac:dyDescent="0.25">
      <c r="B217" s="82" t="s">
        <v>276</v>
      </c>
      <c r="C217" s="37" t="s">
        <v>74</v>
      </c>
      <c r="D217" s="103" t="s">
        <v>59</v>
      </c>
      <c r="E217" s="124" t="s">
        <v>269</v>
      </c>
      <c r="F217" s="44"/>
      <c r="G217" s="39" t="s">
        <v>29</v>
      </c>
      <c r="H217" s="39">
        <v>4600002990</v>
      </c>
      <c r="I217" s="64">
        <v>27169322000115</v>
      </c>
      <c r="J217" s="85" t="s">
        <v>553</v>
      </c>
      <c r="K217" s="101" t="s">
        <v>377</v>
      </c>
      <c r="L217" s="40">
        <v>45869</v>
      </c>
      <c r="M217" s="45" t="s">
        <v>498</v>
      </c>
      <c r="N217" s="38" t="s">
        <v>76</v>
      </c>
      <c r="O217" s="37" t="s">
        <v>31</v>
      </c>
      <c r="P217" s="39" t="s">
        <v>294</v>
      </c>
      <c r="Q217" s="37" t="s">
        <v>29</v>
      </c>
      <c r="R217" s="43" t="s">
        <v>26</v>
      </c>
      <c r="S217" s="37" t="s">
        <v>29</v>
      </c>
      <c r="T217" s="40" t="s">
        <v>26</v>
      </c>
      <c r="U217" s="37" t="s">
        <v>31</v>
      </c>
      <c r="V217" s="43">
        <v>10.199999999999999</v>
      </c>
      <c r="W217" s="43">
        <v>30</v>
      </c>
      <c r="X217" s="37" t="s">
        <v>29</v>
      </c>
      <c r="Y217" s="39" t="s">
        <v>26</v>
      </c>
      <c r="Z217" s="44"/>
      <c r="AA217" s="39" t="s">
        <v>31</v>
      </c>
      <c r="AB217" s="118">
        <v>45658</v>
      </c>
      <c r="AE217" s="69"/>
      <c r="AF217" s="69"/>
      <c r="AI217" s="69"/>
      <c r="AJ217" s="69"/>
      <c r="AN217" s="69"/>
      <c r="AO217" s="69"/>
      <c r="AP217" s="69"/>
    </row>
    <row r="218" spans="1:54" ht="30" hidden="1" x14ac:dyDescent="0.25">
      <c r="B218" s="82" t="s">
        <v>276</v>
      </c>
      <c r="C218" s="37" t="s">
        <v>84</v>
      </c>
      <c r="D218" s="103" t="s">
        <v>59</v>
      </c>
      <c r="E218" s="124" t="s">
        <v>269</v>
      </c>
      <c r="F218" s="44"/>
      <c r="G218" s="44" t="s">
        <v>29</v>
      </c>
      <c r="H218" s="39">
        <v>4600003009</v>
      </c>
      <c r="I218" s="64">
        <v>24715289000193</v>
      </c>
      <c r="J218" s="85" t="s">
        <v>514</v>
      </c>
      <c r="K218" s="101" t="s">
        <v>373</v>
      </c>
      <c r="L218" s="40">
        <v>46691</v>
      </c>
      <c r="M218" s="49" t="s">
        <v>481</v>
      </c>
      <c r="N218" s="38" t="s">
        <v>76</v>
      </c>
      <c r="O218" s="37" t="s">
        <v>31</v>
      </c>
      <c r="P218" s="39" t="s">
        <v>294</v>
      </c>
      <c r="Q218" s="37" t="s">
        <v>29</v>
      </c>
      <c r="R218" s="43" t="s">
        <v>26</v>
      </c>
      <c r="S218" s="37" t="s">
        <v>29</v>
      </c>
      <c r="T218" s="40" t="s">
        <v>26</v>
      </c>
      <c r="U218" s="37" t="s">
        <v>31</v>
      </c>
      <c r="V218" s="43">
        <v>10.199999999999999</v>
      </c>
      <c r="W218" s="43">
        <v>60</v>
      </c>
      <c r="X218" s="37" t="s">
        <v>29</v>
      </c>
      <c r="Y218" s="39" t="s">
        <v>85</v>
      </c>
      <c r="Z218" s="44"/>
      <c r="AA218" s="39" t="s">
        <v>31</v>
      </c>
      <c r="AB218" s="118">
        <v>45658</v>
      </c>
    </row>
    <row r="219" spans="1:54" ht="30" hidden="1" x14ac:dyDescent="0.25">
      <c r="B219" s="82" t="s">
        <v>276</v>
      </c>
      <c r="C219" s="37" t="s">
        <v>74</v>
      </c>
      <c r="D219" s="103" t="s">
        <v>59</v>
      </c>
      <c r="E219" s="124" t="s">
        <v>269</v>
      </c>
      <c r="F219" s="44"/>
      <c r="G219" s="39" t="s">
        <v>29</v>
      </c>
      <c r="H219" s="39">
        <v>4600002964</v>
      </c>
      <c r="I219" s="64">
        <v>19759366000177</v>
      </c>
      <c r="J219" s="85" t="s">
        <v>512</v>
      </c>
      <c r="K219" s="101" t="s">
        <v>357</v>
      </c>
      <c r="L219" s="40">
        <v>46173</v>
      </c>
      <c r="M219" s="49" t="s">
        <v>182</v>
      </c>
      <c r="N219" s="38" t="s">
        <v>76</v>
      </c>
      <c r="O219" s="37" t="s">
        <v>31</v>
      </c>
      <c r="P219" s="39" t="s">
        <v>294</v>
      </c>
      <c r="Q219" s="37" t="s">
        <v>29</v>
      </c>
      <c r="R219" s="43" t="s">
        <v>26</v>
      </c>
      <c r="S219" s="37" t="s">
        <v>29</v>
      </c>
      <c r="T219" s="40" t="s">
        <v>26</v>
      </c>
      <c r="U219" s="37" t="s">
        <v>31</v>
      </c>
      <c r="V219" s="43">
        <v>10.199999999999999</v>
      </c>
      <c r="W219" s="43">
        <v>30</v>
      </c>
      <c r="X219" s="37" t="s">
        <v>29</v>
      </c>
      <c r="Y219" s="39" t="s">
        <v>26</v>
      </c>
      <c r="Z219" s="44"/>
      <c r="AA219" s="39" t="s">
        <v>31</v>
      </c>
      <c r="AB219" s="118">
        <v>45658</v>
      </c>
      <c r="AE219" s="69"/>
      <c r="AF219" s="69"/>
      <c r="AI219" s="69"/>
      <c r="AJ219" s="69"/>
      <c r="AN219" s="69"/>
      <c r="AO219" s="69"/>
      <c r="AP219" s="69"/>
    </row>
    <row r="220" spans="1:54" ht="30" hidden="1" x14ac:dyDescent="0.25">
      <c r="B220" s="82" t="s">
        <v>276</v>
      </c>
      <c r="C220" s="37" t="s">
        <v>84</v>
      </c>
      <c r="D220" s="103" t="s">
        <v>59</v>
      </c>
      <c r="E220" s="124" t="s">
        <v>269</v>
      </c>
      <c r="F220" s="44"/>
      <c r="G220" s="44" t="s">
        <v>29</v>
      </c>
      <c r="H220" s="39">
        <v>4600003008</v>
      </c>
      <c r="I220" s="64">
        <v>49910711000192</v>
      </c>
      <c r="J220" s="85" t="s">
        <v>514</v>
      </c>
      <c r="K220" s="101" t="s">
        <v>401</v>
      </c>
      <c r="L220" s="40">
        <v>46691</v>
      </c>
      <c r="M220" s="49" t="s">
        <v>485</v>
      </c>
      <c r="N220" s="38" t="s">
        <v>76</v>
      </c>
      <c r="O220" s="37" t="s">
        <v>31</v>
      </c>
      <c r="P220" s="39" t="s">
        <v>294</v>
      </c>
      <c r="Q220" s="37" t="s">
        <v>29</v>
      </c>
      <c r="R220" s="43" t="s">
        <v>26</v>
      </c>
      <c r="S220" s="37" t="s">
        <v>29</v>
      </c>
      <c r="T220" s="40" t="s">
        <v>26</v>
      </c>
      <c r="U220" s="37" t="s">
        <v>31</v>
      </c>
      <c r="V220" s="43">
        <v>10.199999999999999</v>
      </c>
      <c r="W220" s="43">
        <v>60</v>
      </c>
      <c r="X220" s="37" t="s">
        <v>29</v>
      </c>
      <c r="Y220" s="39" t="s">
        <v>85</v>
      </c>
      <c r="Z220" s="44"/>
      <c r="AA220" s="39" t="s">
        <v>31</v>
      </c>
      <c r="AB220" s="118">
        <v>45658</v>
      </c>
    </row>
    <row r="221" spans="1:54" ht="32.25" hidden="1" customHeight="1" x14ac:dyDescent="0.25">
      <c r="B221" s="82" t="s">
        <v>276</v>
      </c>
      <c r="C221" s="37" t="s">
        <v>74</v>
      </c>
      <c r="D221" s="103" t="s">
        <v>59</v>
      </c>
      <c r="E221" s="124" t="s">
        <v>269</v>
      </c>
      <c r="F221" s="44"/>
      <c r="G221" s="39" t="s">
        <v>29</v>
      </c>
      <c r="H221" s="39">
        <v>4600002851</v>
      </c>
      <c r="I221" s="64">
        <v>23211179000121</v>
      </c>
      <c r="J221" s="85" t="s">
        <v>512</v>
      </c>
      <c r="K221" s="101" t="s">
        <v>366</v>
      </c>
      <c r="L221" s="40">
        <v>45777</v>
      </c>
      <c r="M221" s="45" t="s">
        <v>495</v>
      </c>
      <c r="N221" s="38" t="s">
        <v>76</v>
      </c>
      <c r="O221" s="37" t="s">
        <v>31</v>
      </c>
      <c r="P221" s="39" t="s">
        <v>294</v>
      </c>
      <c r="Q221" s="37" t="s">
        <v>29</v>
      </c>
      <c r="R221" s="43" t="s">
        <v>26</v>
      </c>
      <c r="S221" s="37" t="s">
        <v>29</v>
      </c>
      <c r="T221" s="40" t="s">
        <v>26</v>
      </c>
      <c r="U221" s="37" t="s">
        <v>31</v>
      </c>
      <c r="V221" s="43">
        <v>10.199999999999999</v>
      </c>
      <c r="W221" s="43">
        <v>30</v>
      </c>
      <c r="X221" s="37" t="s">
        <v>29</v>
      </c>
      <c r="Y221" s="39" t="s">
        <v>26</v>
      </c>
      <c r="Z221" s="44"/>
      <c r="AA221" s="39" t="s">
        <v>31</v>
      </c>
      <c r="AB221" s="118">
        <v>45658</v>
      </c>
      <c r="AE221" s="69"/>
      <c r="AF221" s="69"/>
      <c r="AI221" s="69"/>
      <c r="AJ221" s="69"/>
      <c r="AN221" s="69"/>
      <c r="AO221" s="69"/>
      <c r="AP221" s="69"/>
    </row>
    <row r="222" spans="1:54" x14ac:dyDescent="0.25">
      <c r="H222"/>
      <c r="I222" s="74"/>
      <c r="J222" s="74"/>
    </row>
    <row r="223" spans="1:54" x14ac:dyDescent="0.25">
      <c r="H223"/>
      <c r="I223" s="74"/>
      <c r="J223" s="74"/>
    </row>
    <row r="224" spans="1:54" x14ac:dyDescent="0.25">
      <c r="H224"/>
      <c r="I224" s="74"/>
      <c r="J224" s="74"/>
    </row>
    <row r="225" spans="8:10" x14ac:dyDescent="0.25">
      <c r="H225"/>
      <c r="I225" s="74"/>
      <c r="J225" s="74"/>
    </row>
    <row r="226" spans="8:10" x14ac:dyDescent="0.25">
      <c r="H226"/>
      <c r="I226" s="74"/>
      <c r="J226" s="74"/>
    </row>
    <row r="227" spans="8:10" x14ac:dyDescent="0.25">
      <c r="H227"/>
      <c r="I227" s="74"/>
      <c r="J227" s="74"/>
    </row>
    <row r="228" spans="8:10" x14ac:dyDescent="0.25">
      <c r="H228"/>
      <c r="I228" s="74"/>
      <c r="J228" s="110"/>
    </row>
    <row r="229" spans="8:10" x14ac:dyDescent="0.25">
      <c r="H229"/>
      <c r="I229" s="74"/>
      <c r="J229" s="74"/>
    </row>
    <row r="230" spans="8:10" x14ac:dyDescent="0.25">
      <c r="H230"/>
      <c r="I230" s="74"/>
      <c r="J230" s="74"/>
    </row>
    <row r="231" spans="8:10" x14ac:dyDescent="0.25">
      <c r="H231"/>
      <c r="I231" s="74"/>
      <c r="J231" s="74"/>
    </row>
    <row r="232" spans="8:10" x14ac:dyDescent="0.25">
      <c r="H232"/>
      <c r="I232" s="74"/>
      <c r="J232" s="74"/>
    </row>
    <row r="233" spans="8:10" x14ac:dyDescent="0.25">
      <c r="H233"/>
      <c r="I233" s="74"/>
      <c r="J233" s="74"/>
    </row>
    <row r="234" spans="8:10" x14ac:dyDescent="0.25">
      <c r="H234"/>
      <c r="I234" s="74"/>
      <c r="J234" s="74"/>
    </row>
    <row r="235" spans="8:10" x14ac:dyDescent="0.25">
      <c r="H235"/>
      <c r="I235" s="74"/>
      <c r="J235" s="74"/>
    </row>
    <row r="236" spans="8:10" x14ac:dyDescent="0.25">
      <c r="H236"/>
      <c r="I236" s="74"/>
      <c r="J236" s="74"/>
    </row>
    <row r="237" spans="8:10" x14ac:dyDescent="0.25">
      <c r="H237"/>
      <c r="I237" s="74"/>
      <c r="J237" s="74"/>
    </row>
    <row r="238" spans="8:10" x14ac:dyDescent="0.25">
      <c r="H238"/>
      <c r="I238" s="74"/>
      <c r="J238" s="74"/>
    </row>
    <row r="239" spans="8:10" x14ac:dyDescent="0.25">
      <c r="H239"/>
      <c r="I239" s="74"/>
      <c r="J239" s="74"/>
    </row>
    <row r="240" spans="8:10" x14ac:dyDescent="0.25">
      <c r="H240"/>
      <c r="I240" s="74"/>
      <c r="J240" s="74"/>
    </row>
    <row r="241" spans="8:10" x14ac:dyDescent="0.25">
      <c r="H241"/>
      <c r="I241" s="74"/>
      <c r="J241" s="74"/>
    </row>
    <row r="242" spans="8:10" x14ac:dyDescent="0.25">
      <c r="H242"/>
      <c r="I242" s="74"/>
      <c r="J242" s="74"/>
    </row>
    <row r="243" spans="8:10" x14ac:dyDescent="0.25">
      <c r="H243"/>
      <c r="I243" s="74"/>
      <c r="J243" s="74"/>
    </row>
    <row r="244" spans="8:10" x14ac:dyDescent="0.25">
      <c r="H244"/>
      <c r="I244" s="74"/>
      <c r="J244" s="74"/>
    </row>
    <row r="245" spans="8:10" x14ac:dyDescent="0.25">
      <c r="H245"/>
      <c r="I245" s="74"/>
      <c r="J245" s="74"/>
    </row>
    <row r="246" spans="8:10" x14ac:dyDescent="0.25">
      <c r="H246"/>
      <c r="I246" s="74"/>
      <c r="J246" s="74"/>
    </row>
    <row r="247" spans="8:10" x14ac:dyDescent="0.25">
      <c r="H247"/>
      <c r="I247" s="74"/>
      <c r="J247" s="74"/>
    </row>
    <row r="248" spans="8:10" x14ac:dyDescent="0.25">
      <c r="H248"/>
      <c r="I248" s="74"/>
      <c r="J248" s="74"/>
    </row>
    <row r="249" spans="8:10" x14ac:dyDescent="0.25">
      <c r="H249"/>
      <c r="I249" s="74"/>
      <c r="J249" s="74"/>
    </row>
    <row r="250" spans="8:10" x14ac:dyDescent="0.25">
      <c r="H250"/>
      <c r="I250" s="74"/>
      <c r="J250" s="74"/>
    </row>
    <row r="251" spans="8:10" x14ac:dyDescent="0.25">
      <c r="H251"/>
      <c r="I251" s="74"/>
      <c r="J251" s="74"/>
    </row>
    <row r="252" spans="8:10" x14ac:dyDescent="0.25">
      <c r="H252"/>
      <c r="I252" s="74"/>
      <c r="J252" s="74"/>
    </row>
    <row r="253" spans="8:10" x14ac:dyDescent="0.25">
      <c r="H253"/>
      <c r="I253" s="74"/>
      <c r="J253" s="74"/>
    </row>
    <row r="254" spans="8:10" x14ac:dyDescent="0.25">
      <c r="H254"/>
      <c r="I254" s="74"/>
      <c r="J254" s="74"/>
    </row>
    <row r="255" spans="8:10" x14ac:dyDescent="0.25">
      <c r="H255"/>
      <c r="I255" s="74"/>
      <c r="J255" s="74"/>
    </row>
    <row r="256" spans="8:10" x14ac:dyDescent="0.25">
      <c r="H256"/>
      <c r="I256" s="74"/>
      <c r="J256" s="74"/>
    </row>
    <row r="257" spans="8:10" x14ac:dyDescent="0.25">
      <c r="H257"/>
      <c r="I257" s="74"/>
      <c r="J257" s="74"/>
    </row>
    <row r="258" spans="8:10" x14ac:dyDescent="0.25">
      <c r="H258"/>
      <c r="I258" s="74"/>
      <c r="J258" s="74"/>
    </row>
    <row r="259" spans="8:10" x14ac:dyDescent="0.25">
      <c r="H259"/>
      <c r="I259" s="74"/>
      <c r="J259" s="74"/>
    </row>
    <row r="260" spans="8:10" x14ac:dyDescent="0.25">
      <c r="H260"/>
      <c r="I260" s="74"/>
      <c r="J260" s="74"/>
    </row>
    <row r="261" spans="8:10" x14ac:dyDescent="0.25">
      <c r="H261"/>
      <c r="I261" s="74"/>
      <c r="J261" s="74"/>
    </row>
    <row r="262" spans="8:10" x14ac:dyDescent="0.25">
      <c r="H262"/>
      <c r="I262" s="74"/>
      <c r="J262" s="74"/>
    </row>
    <row r="263" spans="8:10" x14ac:dyDescent="0.25">
      <c r="H263"/>
      <c r="I263" s="74"/>
      <c r="J263" s="74"/>
    </row>
    <row r="264" spans="8:10" x14ac:dyDescent="0.25">
      <c r="H264"/>
      <c r="I264" s="74"/>
      <c r="J264" s="74"/>
    </row>
    <row r="265" spans="8:10" x14ac:dyDescent="0.25">
      <c r="H265"/>
      <c r="I265" s="74"/>
      <c r="J265" s="74"/>
    </row>
    <row r="266" spans="8:10" x14ac:dyDescent="0.25">
      <c r="H266"/>
      <c r="I266" s="74"/>
      <c r="J266" s="74"/>
    </row>
    <row r="267" spans="8:10" x14ac:dyDescent="0.25">
      <c r="H267"/>
      <c r="I267" s="74"/>
      <c r="J267" s="74"/>
    </row>
    <row r="268" spans="8:10" x14ac:dyDescent="0.25">
      <c r="H268"/>
      <c r="I268" s="74"/>
      <c r="J268" s="74"/>
    </row>
    <row r="269" spans="8:10" x14ac:dyDescent="0.25">
      <c r="H269"/>
      <c r="I269" s="74"/>
      <c r="J269" s="74"/>
    </row>
    <row r="270" spans="8:10" x14ac:dyDescent="0.25">
      <c r="H270"/>
      <c r="I270" s="74"/>
      <c r="J270" s="74"/>
    </row>
    <row r="271" spans="8:10" x14ac:dyDescent="0.25">
      <c r="H271"/>
      <c r="I271" s="74"/>
      <c r="J271" s="74"/>
    </row>
    <row r="272" spans="8:10" x14ac:dyDescent="0.25">
      <c r="H272"/>
      <c r="I272" s="74"/>
      <c r="J272" s="74"/>
    </row>
    <row r="273" spans="8:10" x14ac:dyDescent="0.25">
      <c r="H273"/>
      <c r="I273" s="74"/>
      <c r="J273" s="74"/>
    </row>
    <row r="274" spans="8:10" x14ac:dyDescent="0.25">
      <c r="H274"/>
      <c r="I274" s="74"/>
      <c r="J274" s="74"/>
    </row>
    <row r="275" spans="8:10" x14ac:dyDescent="0.25">
      <c r="H275"/>
      <c r="I275" s="74"/>
      <c r="J275" s="74"/>
    </row>
    <row r="276" spans="8:10" x14ac:dyDescent="0.25">
      <c r="H276"/>
      <c r="I276" s="74"/>
      <c r="J276" s="74"/>
    </row>
    <row r="277" spans="8:10" x14ac:dyDescent="0.25">
      <c r="H277"/>
      <c r="I277" s="74"/>
      <c r="J277" s="74"/>
    </row>
    <row r="278" spans="8:10" x14ac:dyDescent="0.25">
      <c r="H278"/>
      <c r="I278" s="74"/>
      <c r="J278" s="74"/>
    </row>
    <row r="279" spans="8:10" x14ac:dyDescent="0.25">
      <c r="H279"/>
      <c r="I279" s="74"/>
      <c r="J279" s="74"/>
    </row>
    <row r="280" spans="8:10" x14ac:dyDescent="0.25">
      <c r="H280"/>
      <c r="I280" s="74"/>
      <c r="J280" s="74"/>
    </row>
    <row r="281" spans="8:10" x14ac:dyDescent="0.25">
      <c r="H281"/>
      <c r="I281" s="74"/>
      <c r="J281" s="74"/>
    </row>
    <row r="282" spans="8:10" x14ac:dyDescent="0.25">
      <c r="H282"/>
      <c r="I282" s="74"/>
      <c r="J282" s="74"/>
    </row>
    <row r="283" spans="8:10" x14ac:dyDescent="0.25">
      <c r="H283"/>
      <c r="I283" s="74"/>
      <c r="J283" s="74"/>
    </row>
    <row r="284" spans="8:10" x14ac:dyDescent="0.25">
      <c r="H284"/>
      <c r="I284" s="74"/>
      <c r="J284" s="74"/>
    </row>
    <row r="285" spans="8:10" x14ac:dyDescent="0.25">
      <c r="H285"/>
      <c r="I285" s="74"/>
      <c r="J285" s="74"/>
    </row>
    <row r="286" spans="8:10" x14ac:dyDescent="0.25">
      <c r="H286"/>
      <c r="I286" s="74"/>
      <c r="J286" s="74"/>
    </row>
    <row r="287" spans="8:10" x14ac:dyDescent="0.25">
      <c r="H287"/>
      <c r="I287" s="74"/>
      <c r="J287" s="74"/>
    </row>
    <row r="288" spans="8:10" x14ac:dyDescent="0.25">
      <c r="H288"/>
      <c r="I288" s="74"/>
      <c r="J288" s="74"/>
    </row>
    <row r="289" spans="8:10" x14ac:dyDescent="0.25">
      <c r="H289"/>
      <c r="I289" s="74"/>
      <c r="J289" s="74"/>
    </row>
    <row r="290" spans="8:10" x14ac:dyDescent="0.25">
      <c r="H290"/>
      <c r="I290" s="74"/>
      <c r="J290" s="74"/>
    </row>
    <row r="291" spans="8:10" x14ac:dyDescent="0.25">
      <c r="H291"/>
      <c r="I291" s="74"/>
      <c r="J291" s="74"/>
    </row>
    <row r="292" spans="8:10" x14ac:dyDescent="0.25">
      <c r="H292"/>
      <c r="I292" s="74"/>
      <c r="J292" s="74"/>
    </row>
    <row r="293" spans="8:10" x14ac:dyDescent="0.25">
      <c r="H293"/>
      <c r="I293" s="74"/>
      <c r="J293" s="74"/>
    </row>
    <row r="294" spans="8:10" x14ac:dyDescent="0.25">
      <c r="H294"/>
      <c r="I294" s="74"/>
      <c r="J294" s="74"/>
    </row>
    <row r="295" spans="8:10" x14ac:dyDescent="0.25">
      <c r="H295"/>
      <c r="I295" s="74"/>
      <c r="J295" s="74"/>
    </row>
    <row r="296" spans="8:10" x14ac:dyDescent="0.25">
      <c r="H296"/>
      <c r="I296" s="74"/>
      <c r="J296" s="74"/>
    </row>
    <row r="297" spans="8:10" x14ac:dyDescent="0.25">
      <c r="H297"/>
      <c r="I297" s="74"/>
      <c r="J297" s="74"/>
    </row>
    <row r="298" spans="8:10" x14ac:dyDescent="0.25">
      <c r="H298"/>
      <c r="I298" s="74"/>
      <c r="J298" s="74"/>
    </row>
    <row r="299" spans="8:10" x14ac:dyDescent="0.25">
      <c r="H299"/>
      <c r="I299" s="74"/>
      <c r="J299" s="74"/>
    </row>
    <row r="300" spans="8:10" x14ac:dyDescent="0.25">
      <c r="H300"/>
      <c r="I300" s="74"/>
      <c r="J300" s="74"/>
    </row>
    <row r="301" spans="8:10" x14ac:dyDescent="0.25">
      <c r="H301"/>
      <c r="I301" s="74"/>
      <c r="J301" s="74"/>
    </row>
    <row r="302" spans="8:10" x14ac:dyDescent="0.25">
      <c r="H302"/>
      <c r="I302" s="74"/>
      <c r="J302" s="74"/>
    </row>
    <row r="303" spans="8:10" x14ac:dyDescent="0.25">
      <c r="H303"/>
      <c r="I303" s="74"/>
      <c r="J303" s="74"/>
    </row>
    <row r="304" spans="8:10" x14ac:dyDescent="0.25">
      <c r="H304"/>
      <c r="I304" s="74"/>
      <c r="J304" s="74"/>
    </row>
    <row r="305" spans="8:10" x14ac:dyDescent="0.25">
      <c r="H305"/>
      <c r="I305" s="74"/>
      <c r="J305" s="74"/>
    </row>
    <row r="306" spans="8:10" x14ac:dyDescent="0.25">
      <c r="H306"/>
      <c r="I306" s="74"/>
      <c r="J306" s="74"/>
    </row>
    <row r="307" spans="8:10" x14ac:dyDescent="0.25">
      <c r="H307"/>
      <c r="I307" s="74"/>
      <c r="J307" s="74"/>
    </row>
    <row r="308" spans="8:10" x14ac:dyDescent="0.25">
      <c r="H308"/>
      <c r="I308" s="74"/>
      <c r="J308" s="74"/>
    </row>
    <row r="309" spans="8:10" x14ac:dyDescent="0.25">
      <c r="H309"/>
      <c r="I309" s="74"/>
      <c r="J309" s="74"/>
    </row>
    <row r="310" spans="8:10" x14ac:dyDescent="0.25">
      <c r="H310"/>
      <c r="I310" s="74"/>
      <c r="J310" s="74"/>
    </row>
    <row r="311" spans="8:10" x14ac:dyDescent="0.25">
      <c r="H311"/>
      <c r="I311" s="74"/>
      <c r="J311" s="74"/>
    </row>
    <row r="312" spans="8:10" x14ac:dyDescent="0.25">
      <c r="H312"/>
      <c r="I312" s="74"/>
      <c r="J312" s="74"/>
    </row>
    <row r="313" spans="8:10" x14ac:dyDescent="0.25">
      <c r="H313"/>
      <c r="I313" s="74"/>
      <c r="J313" s="74"/>
    </row>
    <row r="314" spans="8:10" x14ac:dyDescent="0.25">
      <c r="H314"/>
      <c r="I314" s="74"/>
      <c r="J314" s="74"/>
    </row>
    <row r="315" spans="8:10" x14ac:dyDescent="0.25">
      <c r="H315"/>
      <c r="I315" s="74"/>
      <c r="J315" s="74"/>
    </row>
    <row r="316" spans="8:10" x14ac:dyDescent="0.25">
      <c r="H316"/>
      <c r="I316" s="74"/>
      <c r="J316" s="74"/>
    </row>
    <row r="317" spans="8:10" x14ac:dyDescent="0.25">
      <c r="H317"/>
      <c r="I317" s="74"/>
      <c r="J317" s="74"/>
    </row>
    <row r="318" spans="8:10" x14ac:dyDescent="0.25">
      <c r="H318"/>
      <c r="I318" s="74"/>
      <c r="J318" s="74"/>
    </row>
    <row r="319" spans="8:10" x14ac:dyDescent="0.25">
      <c r="H319"/>
      <c r="I319" s="74"/>
      <c r="J319" s="74"/>
    </row>
    <row r="320" spans="8:10" x14ac:dyDescent="0.25">
      <c r="H320"/>
      <c r="I320" s="74"/>
      <c r="J320" s="74"/>
    </row>
    <row r="321" spans="8:10" x14ac:dyDescent="0.25">
      <c r="H321"/>
      <c r="I321" s="74"/>
      <c r="J321" s="74"/>
    </row>
    <row r="322" spans="8:10" x14ac:dyDescent="0.25">
      <c r="H322"/>
      <c r="I322" s="74"/>
      <c r="J322" s="74"/>
    </row>
    <row r="323" spans="8:10" x14ac:dyDescent="0.25">
      <c r="H323"/>
      <c r="I323" s="74"/>
      <c r="J323" s="74"/>
    </row>
    <row r="324" spans="8:10" x14ac:dyDescent="0.25">
      <c r="H324"/>
      <c r="I324" s="74"/>
      <c r="J324" s="74"/>
    </row>
    <row r="325" spans="8:10" x14ac:dyDescent="0.25">
      <c r="H325"/>
      <c r="I325" s="74"/>
      <c r="J325" s="74"/>
    </row>
    <row r="326" spans="8:10" x14ac:dyDescent="0.25">
      <c r="H326"/>
      <c r="I326" s="74"/>
      <c r="J326" s="74"/>
    </row>
    <row r="327" spans="8:10" x14ac:dyDescent="0.25">
      <c r="H327"/>
      <c r="I327" s="74"/>
      <c r="J327" s="74"/>
    </row>
    <row r="328" spans="8:10" x14ac:dyDescent="0.25">
      <c r="H328"/>
      <c r="I328" s="74"/>
      <c r="J328" s="74"/>
    </row>
    <row r="329" spans="8:10" x14ac:dyDescent="0.25">
      <c r="H329"/>
      <c r="I329" s="74"/>
      <c r="J329" s="74"/>
    </row>
    <row r="330" spans="8:10" x14ac:dyDescent="0.25">
      <c r="H330"/>
      <c r="I330" s="74"/>
      <c r="J330" s="74"/>
    </row>
    <row r="331" spans="8:10" x14ac:dyDescent="0.25">
      <c r="H331"/>
      <c r="I331" s="74"/>
      <c r="J331" s="74"/>
    </row>
    <row r="332" spans="8:10" x14ac:dyDescent="0.25">
      <c r="H332"/>
      <c r="I332" s="74"/>
      <c r="J332" s="74"/>
    </row>
    <row r="333" spans="8:10" x14ac:dyDescent="0.25">
      <c r="H333"/>
      <c r="I333" s="74"/>
      <c r="J333" s="74"/>
    </row>
    <row r="334" spans="8:10" x14ac:dyDescent="0.25">
      <c r="H334"/>
      <c r="I334" s="74"/>
      <c r="J334" s="74"/>
    </row>
    <row r="335" spans="8:10" x14ac:dyDescent="0.25">
      <c r="H335"/>
      <c r="I335" s="74"/>
      <c r="J335" s="74"/>
    </row>
    <row r="336" spans="8:10" x14ac:dyDescent="0.25">
      <c r="H336"/>
      <c r="I336" s="74"/>
      <c r="J336" s="74"/>
    </row>
    <row r="337" spans="8:10" x14ac:dyDescent="0.25">
      <c r="H337"/>
      <c r="I337" s="74"/>
      <c r="J337" s="74"/>
    </row>
    <row r="338" spans="8:10" x14ac:dyDescent="0.25">
      <c r="H338"/>
      <c r="I338" s="74"/>
      <c r="J338" s="74"/>
    </row>
    <row r="339" spans="8:10" x14ac:dyDescent="0.25">
      <c r="H339"/>
      <c r="I339" s="74"/>
      <c r="J339" s="74"/>
    </row>
    <row r="340" spans="8:10" x14ac:dyDescent="0.25">
      <c r="H340"/>
      <c r="I340" s="74"/>
      <c r="J340" s="74"/>
    </row>
    <row r="341" spans="8:10" x14ac:dyDescent="0.25">
      <c r="H341"/>
      <c r="I341" s="74"/>
      <c r="J341" s="74"/>
    </row>
    <row r="342" spans="8:10" x14ac:dyDescent="0.25">
      <c r="H342"/>
      <c r="I342" s="74"/>
      <c r="J342" s="74"/>
    </row>
    <row r="343" spans="8:10" x14ac:dyDescent="0.25">
      <c r="H343"/>
      <c r="I343" s="74"/>
      <c r="J343" s="74"/>
    </row>
    <row r="344" spans="8:10" x14ac:dyDescent="0.25">
      <c r="H344"/>
      <c r="I344" s="74"/>
      <c r="J344" s="74"/>
    </row>
    <row r="345" spans="8:10" x14ac:dyDescent="0.25">
      <c r="H345"/>
      <c r="I345" s="74"/>
      <c r="J345" s="74"/>
    </row>
    <row r="346" spans="8:10" x14ac:dyDescent="0.25">
      <c r="H346"/>
      <c r="I346" s="74"/>
      <c r="J346" s="74"/>
    </row>
    <row r="347" spans="8:10" x14ac:dyDescent="0.25">
      <c r="H347"/>
      <c r="I347" s="74"/>
      <c r="J347" s="74"/>
    </row>
    <row r="348" spans="8:10" x14ac:dyDescent="0.25">
      <c r="H348"/>
      <c r="I348" s="74"/>
      <c r="J348" s="74"/>
    </row>
    <row r="349" spans="8:10" x14ac:dyDescent="0.25">
      <c r="H349"/>
      <c r="I349" s="74"/>
      <c r="J349" s="74"/>
    </row>
    <row r="350" spans="8:10" x14ac:dyDescent="0.25">
      <c r="H350"/>
      <c r="I350" s="74"/>
      <c r="J350" s="74"/>
    </row>
    <row r="351" spans="8:10" x14ac:dyDescent="0.25">
      <c r="H351"/>
      <c r="I351" s="74"/>
      <c r="J351" s="74"/>
    </row>
    <row r="352" spans="8:10" x14ac:dyDescent="0.25">
      <c r="H352"/>
      <c r="I352" s="74"/>
      <c r="J352" s="74"/>
    </row>
    <row r="353" spans="8:10" x14ac:dyDescent="0.25">
      <c r="H353"/>
      <c r="I353" s="74"/>
      <c r="J353" s="74"/>
    </row>
    <row r="354" spans="8:10" x14ac:dyDescent="0.25">
      <c r="H354"/>
      <c r="I354" s="74"/>
      <c r="J354" s="74"/>
    </row>
    <row r="355" spans="8:10" x14ac:dyDescent="0.25">
      <c r="H355"/>
      <c r="I355" s="74"/>
      <c r="J355" s="74"/>
    </row>
    <row r="356" spans="8:10" x14ac:dyDescent="0.25">
      <c r="H356"/>
      <c r="I356" s="74"/>
      <c r="J356" s="74"/>
    </row>
    <row r="357" spans="8:10" x14ac:dyDescent="0.25">
      <c r="H357"/>
      <c r="I357" s="74"/>
      <c r="J357" s="74"/>
    </row>
    <row r="358" spans="8:10" x14ac:dyDescent="0.25">
      <c r="H358"/>
      <c r="I358" s="74"/>
      <c r="J358" s="74"/>
    </row>
    <row r="359" spans="8:10" x14ac:dyDescent="0.25">
      <c r="H359"/>
      <c r="I359" s="74"/>
      <c r="J359" s="74"/>
    </row>
    <row r="360" spans="8:10" x14ac:dyDescent="0.25">
      <c r="H360"/>
      <c r="I360" s="74"/>
      <c r="J360" s="74"/>
    </row>
    <row r="361" spans="8:10" x14ac:dyDescent="0.25">
      <c r="H361"/>
      <c r="I361" s="74"/>
      <c r="J361" s="74"/>
    </row>
    <row r="362" spans="8:10" x14ac:dyDescent="0.25">
      <c r="H362"/>
      <c r="I362" s="74"/>
      <c r="J362" s="74"/>
    </row>
    <row r="363" spans="8:10" x14ac:dyDescent="0.25">
      <c r="H363"/>
      <c r="I363" s="74"/>
      <c r="J363" s="74"/>
    </row>
    <row r="364" spans="8:10" x14ac:dyDescent="0.25">
      <c r="H364"/>
      <c r="I364" s="74"/>
      <c r="J364" s="74"/>
    </row>
    <row r="365" spans="8:10" x14ac:dyDescent="0.25">
      <c r="H365"/>
      <c r="I365" s="74"/>
      <c r="J365" s="74"/>
    </row>
    <row r="366" spans="8:10" x14ac:dyDescent="0.25">
      <c r="H366"/>
      <c r="I366" s="74"/>
      <c r="J366" s="74"/>
    </row>
    <row r="367" spans="8:10" x14ac:dyDescent="0.25">
      <c r="H367"/>
      <c r="I367" s="74"/>
      <c r="J367" s="74"/>
    </row>
    <row r="368" spans="8:10" x14ac:dyDescent="0.25">
      <c r="H368"/>
      <c r="I368" s="74"/>
      <c r="J368" s="74"/>
    </row>
    <row r="369" spans="8:10" x14ac:dyDescent="0.25">
      <c r="H369"/>
      <c r="I369" s="74"/>
      <c r="J369" s="74"/>
    </row>
    <row r="370" spans="8:10" x14ac:dyDescent="0.25">
      <c r="H370"/>
      <c r="I370" s="74"/>
      <c r="J370" s="74"/>
    </row>
    <row r="371" spans="8:10" x14ac:dyDescent="0.25">
      <c r="H371"/>
      <c r="I371" s="74"/>
      <c r="J371" s="74"/>
    </row>
    <row r="372" spans="8:10" x14ac:dyDescent="0.25">
      <c r="H372"/>
      <c r="I372" s="74"/>
      <c r="J372" s="74"/>
    </row>
    <row r="373" spans="8:10" x14ac:dyDescent="0.25">
      <c r="H373"/>
      <c r="I373" s="74"/>
      <c r="J373" s="74"/>
    </row>
    <row r="374" spans="8:10" x14ac:dyDescent="0.25">
      <c r="H374"/>
      <c r="I374" s="74"/>
      <c r="J374" s="74"/>
    </row>
    <row r="375" spans="8:10" x14ac:dyDescent="0.25">
      <c r="H375"/>
      <c r="I375" s="74"/>
      <c r="J375" s="74"/>
    </row>
    <row r="376" spans="8:10" x14ac:dyDescent="0.25">
      <c r="H376"/>
      <c r="I376" s="74"/>
      <c r="J376" s="74"/>
    </row>
    <row r="377" spans="8:10" x14ac:dyDescent="0.25">
      <c r="H377"/>
      <c r="I377" s="74"/>
      <c r="J377" s="74"/>
    </row>
    <row r="378" spans="8:10" x14ac:dyDescent="0.25">
      <c r="H378"/>
      <c r="I378" s="74"/>
      <c r="J378" s="74"/>
    </row>
    <row r="379" spans="8:10" x14ac:dyDescent="0.25">
      <c r="H379"/>
      <c r="I379" s="74"/>
      <c r="J379" s="74"/>
    </row>
    <row r="380" spans="8:10" x14ac:dyDescent="0.25">
      <c r="H380"/>
      <c r="I380" s="74"/>
      <c r="J380" s="74"/>
    </row>
    <row r="381" spans="8:10" x14ac:dyDescent="0.25">
      <c r="H381"/>
      <c r="I381" s="74"/>
      <c r="J381" s="74"/>
    </row>
    <row r="382" spans="8:10" x14ac:dyDescent="0.25">
      <c r="H382"/>
      <c r="I382" s="74"/>
      <c r="J382" s="74"/>
    </row>
    <row r="383" spans="8:10" x14ac:dyDescent="0.25">
      <c r="H383"/>
      <c r="I383" s="74"/>
      <c r="J383" s="74"/>
    </row>
    <row r="384" spans="8:10" x14ac:dyDescent="0.25">
      <c r="H384"/>
      <c r="I384" s="74"/>
      <c r="J384" s="74"/>
    </row>
    <row r="385" spans="8:10" x14ac:dyDescent="0.25">
      <c r="H385"/>
      <c r="I385" s="74"/>
      <c r="J385" s="74"/>
    </row>
    <row r="386" spans="8:10" x14ac:dyDescent="0.25">
      <c r="H386"/>
      <c r="I386" s="74"/>
      <c r="J386" s="74"/>
    </row>
    <row r="387" spans="8:10" x14ac:dyDescent="0.25">
      <c r="H387"/>
      <c r="I387" s="74"/>
      <c r="J387" s="74"/>
    </row>
    <row r="388" spans="8:10" x14ac:dyDescent="0.25">
      <c r="H388"/>
      <c r="I388" s="74"/>
      <c r="J388" s="74"/>
    </row>
    <row r="389" spans="8:10" x14ac:dyDescent="0.25">
      <c r="H389"/>
      <c r="I389" s="74"/>
      <c r="J389" s="74"/>
    </row>
    <row r="390" spans="8:10" x14ac:dyDescent="0.25">
      <c r="H390"/>
      <c r="I390" s="74"/>
      <c r="J390" s="74"/>
    </row>
    <row r="391" spans="8:10" x14ac:dyDescent="0.25">
      <c r="H391"/>
      <c r="I391" s="74"/>
      <c r="J391" s="74"/>
    </row>
    <row r="392" spans="8:10" x14ac:dyDescent="0.25">
      <c r="H392"/>
      <c r="I392" s="74"/>
      <c r="J392" s="74"/>
    </row>
    <row r="393" spans="8:10" x14ac:dyDescent="0.25">
      <c r="H393"/>
      <c r="I393" s="74"/>
      <c r="J393" s="74"/>
    </row>
    <row r="394" spans="8:10" x14ac:dyDescent="0.25">
      <c r="H394"/>
      <c r="I394" s="74"/>
      <c r="J394" s="74"/>
    </row>
    <row r="395" spans="8:10" x14ac:dyDescent="0.25">
      <c r="H395"/>
      <c r="I395" s="74"/>
      <c r="J395" s="74"/>
    </row>
    <row r="396" spans="8:10" x14ac:dyDescent="0.25">
      <c r="H396"/>
      <c r="I396" s="74"/>
      <c r="J396" s="74"/>
    </row>
    <row r="397" spans="8:10" x14ac:dyDescent="0.25">
      <c r="H397"/>
      <c r="I397" s="74"/>
      <c r="J397" s="74"/>
    </row>
    <row r="398" spans="8:10" x14ac:dyDescent="0.25">
      <c r="H398"/>
      <c r="I398" s="74"/>
      <c r="J398" s="74"/>
    </row>
    <row r="399" spans="8:10" x14ac:dyDescent="0.25">
      <c r="H399"/>
      <c r="I399" s="74"/>
      <c r="J399" s="74"/>
    </row>
    <row r="400" spans="8:10" x14ac:dyDescent="0.25">
      <c r="H400"/>
      <c r="I400" s="74"/>
      <c r="J400" s="74"/>
    </row>
    <row r="401" spans="8:10" x14ac:dyDescent="0.25">
      <c r="H401"/>
      <c r="I401" s="74"/>
      <c r="J401" s="74"/>
    </row>
    <row r="402" spans="8:10" x14ac:dyDescent="0.25">
      <c r="H402"/>
      <c r="I402" s="74"/>
      <c r="J402" s="74"/>
    </row>
    <row r="403" spans="8:10" x14ac:dyDescent="0.25">
      <c r="H403"/>
      <c r="I403" s="74"/>
      <c r="J403" s="74"/>
    </row>
    <row r="404" spans="8:10" x14ac:dyDescent="0.25">
      <c r="H404"/>
      <c r="I404" s="74"/>
      <c r="J404" s="74"/>
    </row>
    <row r="405" spans="8:10" x14ac:dyDescent="0.25">
      <c r="H405"/>
      <c r="I405" s="74"/>
      <c r="J405" s="74"/>
    </row>
    <row r="406" spans="8:10" x14ac:dyDescent="0.25">
      <c r="H406"/>
      <c r="I406" s="74"/>
      <c r="J406" s="74"/>
    </row>
    <row r="407" spans="8:10" x14ac:dyDescent="0.25">
      <c r="H407"/>
      <c r="I407" s="74"/>
      <c r="J407" s="74"/>
    </row>
    <row r="408" spans="8:10" x14ac:dyDescent="0.25">
      <c r="H408"/>
      <c r="I408" s="74"/>
      <c r="J408" s="74"/>
    </row>
    <row r="409" spans="8:10" x14ac:dyDescent="0.25">
      <c r="H409"/>
      <c r="I409" s="74"/>
      <c r="J409" s="74"/>
    </row>
    <row r="410" spans="8:10" x14ac:dyDescent="0.25">
      <c r="H410"/>
      <c r="I410" s="74"/>
      <c r="J410" s="74"/>
    </row>
    <row r="411" spans="8:10" x14ac:dyDescent="0.25">
      <c r="H411"/>
      <c r="I411" s="74"/>
      <c r="J411" s="74"/>
    </row>
    <row r="412" spans="8:10" x14ac:dyDescent="0.25">
      <c r="H412"/>
      <c r="I412" s="74"/>
      <c r="J412" s="74"/>
    </row>
    <row r="413" spans="8:10" x14ac:dyDescent="0.25">
      <c r="H413"/>
      <c r="I413" s="74"/>
      <c r="J413" s="74"/>
    </row>
    <row r="414" spans="8:10" x14ac:dyDescent="0.25">
      <c r="H414"/>
      <c r="I414" s="74"/>
      <c r="J414" s="74"/>
    </row>
    <row r="415" spans="8:10" x14ac:dyDescent="0.25">
      <c r="H415"/>
      <c r="I415" s="74"/>
      <c r="J415" s="74"/>
    </row>
    <row r="416" spans="8:10" x14ac:dyDescent="0.25">
      <c r="H416"/>
      <c r="I416" s="74"/>
      <c r="J416" s="74"/>
    </row>
    <row r="417" spans="8:10" x14ac:dyDescent="0.25">
      <c r="H417"/>
      <c r="I417" s="74"/>
      <c r="J417" s="74"/>
    </row>
    <row r="418" spans="8:10" x14ac:dyDescent="0.25">
      <c r="H418"/>
      <c r="I418" s="74"/>
      <c r="J418" s="74"/>
    </row>
    <row r="419" spans="8:10" x14ac:dyDescent="0.25">
      <c r="H419"/>
      <c r="I419" s="74"/>
      <c r="J419" s="74"/>
    </row>
    <row r="420" spans="8:10" x14ac:dyDescent="0.25">
      <c r="H420"/>
      <c r="I420" s="74"/>
      <c r="J420" s="74"/>
    </row>
    <row r="421" spans="8:10" x14ac:dyDescent="0.25">
      <c r="H421"/>
      <c r="I421" s="74"/>
      <c r="J421" s="74"/>
    </row>
    <row r="422" spans="8:10" x14ac:dyDescent="0.25">
      <c r="H422"/>
      <c r="I422" s="74"/>
      <c r="J422" s="74"/>
    </row>
    <row r="423" spans="8:10" x14ac:dyDescent="0.25">
      <c r="H423"/>
      <c r="I423" s="74"/>
      <c r="J423" s="74"/>
    </row>
    <row r="424" spans="8:10" x14ac:dyDescent="0.25">
      <c r="H424"/>
      <c r="I424" s="74"/>
      <c r="J424" s="74"/>
    </row>
    <row r="425" spans="8:10" x14ac:dyDescent="0.25">
      <c r="H425"/>
      <c r="I425" s="74"/>
      <c r="J425" s="74"/>
    </row>
    <row r="426" spans="8:10" x14ac:dyDescent="0.25">
      <c r="H426"/>
      <c r="I426" s="74"/>
      <c r="J426" s="74"/>
    </row>
    <row r="427" spans="8:10" x14ac:dyDescent="0.25">
      <c r="H427"/>
      <c r="I427" s="74"/>
      <c r="J427" s="74"/>
    </row>
    <row r="428" spans="8:10" x14ac:dyDescent="0.25">
      <c r="H428"/>
      <c r="I428" s="74"/>
      <c r="J428" s="74"/>
    </row>
    <row r="429" spans="8:10" x14ac:dyDescent="0.25">
      <c r="H429"/>
      <c r="I429" s="74"/>
      <c r="J429" s="74"/>
    </row>
    <row r="430" spans="8:10" x14ac:dyDescent="0.25">
      <c r="H430"/>
      <c r="I430" s="74"/>
      <c r="J430" s="74"/>
    </row>
    <row r="431" spans="8:10" x14ac:dyDescent="0.25">
      <c r="H431"/>
      <c r="I431" s="74"/>
      <c r="J431" s="74"/>
    </row>
    <row r="432" spans="8:10" x14ac:dyDescent="0.25">
      <c r="H432"/>
      <c r="I432" s="74"/>
      <c r="J432" s="74"/>
    </row>
    <row r="433" spans="8:10" x14ac:dyDescent="0.25">
      <c r="H433"/>
      <c r="I433" s="74"/>
      <c r="J433" s="74"/>
    </row>
    <row r="434" spans="8:10" x14ac:dyDescent="0.25">
      <c r="H434"/>
      <c r="I434" s="74"/>
      <c r="J434" s="74"/>
    </row>
    <row r="435" spans="8:10" x14ac:dyDescent="0.25">
      <c r="H435"/>
      <c r="I435" s="74"/>
      <c r="J435" s="74"/>
    </row>
    <row r="436" spans="8:10" x14ac:dyDescent="0.25">
      <c r="H436"/>
      <c r="I436" s="74"/>
      <c r="J436" s="74"/>
    </row>
    <row r="437" spans="8:10" x14ac:dyDescent="0.25">
      <c r="H437"/>
      <c r="I437" s="74"/>
      <c r="J437" s="74"/>
    </row>
    <row r="438" spans="8:10" x14ac:dyDescent="0.25">
      <c r="H438"/>
      <c r="I438" s="74"/>
      <c r="J438" s="74"/>
    </row>
    <row r="439" spans="8:10" x14ac:dyDescent="0.25">
      <c r="H439"/>
      <c r="I439" s="74"/>
      <c r="J439" s="74"/>
    </row>
    <row r="440" spans="8:10" x14ac:dyDescent="0.25">
      <c r="H440"/>
      <c r="I440" s="74"/>
      <c r="J440" s="74"/>
    </row>
    <row r="441" spans="8:10" x14ac:dyDescent="0.25">
      <c r="H441"/>
      <c r="I441" s="74"/>
      <c r="J441" s="74"/>
    </row>
    <row r="442" spans="8:10" x14ac:dyDescent="0.25">
      <c r="H442"/>
      <c r="I442" s="74"/>
      <c r="J442" s="74"/>
    </row>
    <row r="443" spans="8:10" x14ac:dyDescent="0.25">
      <c r="H443"/>
      <c r="I443" s="74"/>
      <c r="J443" s="74"/>
    </row>
    <row r="444" spans="8:10" x14ac:dyDescent="0.25">
      <c r="H444"/>
      <c r="I444" s="74"/>
      <c r="J444" s="74"/>
    </row>
    <row r="445" spans="8:10" x14ac:dyDescent="0.25">
      <c r="H445"/>
      <c r="I445" s="74"/>
      <c r="J445" s="74"/>
    </row>
    <row r="446" spans="8:10" x14ac:dyDescent="0.25">
      <c r="H446"/>
      <c r="I446" s="74"/>
      <c r="J446" s="74"/>
    </row>
    <row r="447" spans="8:10" x14ac:dyDescent="0.25">
      <c r="H447"/>
      <c r="I447" s="74"/>
      <c r="J447" s="74"/>
    </row>
    <row r="448" spans="8:10" x14ac:dyDescent="0.25">
      <c r="H448"/>
      <c r="I448" s="74"/>
      <c r="J448" s="74"/>
    </row>
    <row r="449" spans="8:10" x14ac:dyDescent="0.25">
      <c r="H449"/>
      <c r="I449" s="74"/>
      <c r="J449" s="74"/>
    </row>
    <row r="450" spans="8:10" x14ac:dyDescent="0.25">
      <c r="H450"/>
      <c r="I450" s="74"/>
      <c r="J450" s="74"/>
    </row>
    <row r="451" spans="8:10" x14ac:dyDescent="0.25">
      <c r="H451"/>
      <c r="I451" s="74"/>
      <c r="J451" s="74"/>
    </row>
    <row r="452" spans="8:10" x14ac:dyDescent="0.25">
      <c r="H452"/>
      <c r="I452" s="74"/>
      <c r="J452" s="74"/>
    </row>
    <row r="453" spans="8:10" x14ac:dyDescent="0.25">
      <c r="H453"/>
      <c r="I453" s="74"/>
      <c r="J453" s="74"/>
    </row>
    <row r="454" spans="8:10" x14ac:dyDescent="0.25">
      <c r="H454"/>
      <c r="I454" s="74"/>
      <c r="J454" s="74"/>
    </row>
    <row r="455" spans="8:10" x14ac:dyDescent="0.25">
      <c r="H455"/>
      <c r="I455" s="74"/>
      <c r="J455" s="74"/>
    </row>
    <row r="456" spans="8:10" x14ac:dyDescent="0.25">
      <c r="H456"/>
      <c r="I456" s="74"/>
      <c r="J456" s="74"/>
    </row>
    <row r="457" spans="8:10" x14ac:dyDescent="0.25">
      <c r="H457"/>
      <c r="I457" s="74"/>
      <c r="J457" s="74"/>
    </row>
    <row r="458" spans="8:10" x14ac:dyDescent="0.25">
      <c r="H458"/>
      <c r="I458" s="74"/>
      <c r="J458" s="74"/>
    </row>
    <row r="459" spans="8:10" x14ac:dyDescent="0.25">
      <c r="H459"/>
      <c r="I459" s="74"/>
      <c r="J459" s="74"/>
    </row>
    <row r="460" spans="8:10" x14ac:dyDescent="0.25">
      <c r="H460"/>
      <c r="I460" s="74"/>
      <c r="J460" s="74"/>
    </row>
    <row r="461" spans="8:10" x14ac:dyDescent="0.25">
      <c r="H461"/>
      <c r="I461" s="74"/>
      <c r="J461" s="74"/>
    </row>
    <row r="462" spans="8:10" x14ac:dyDescent="0.25">
      <c r="H462"/>
      <c r="I462" s="74"/>
      <c r="J462" s="74"/>
    </row>
    <row r="463" spans="8:10" x14ac:dyDescent="0.25">
      <c r="H463"/>
      <c r="I463" s="74"/>
      <c r="J463" s="74"/>
    </row>
    <row r="464" spans="8:10" x14ac:dyDescent="0.25">
      <c r="H464"/>
      <c r="I464" s="74"/>
      <c r="J464" s="74"/>
    </row>
    <row r="465" spans="8:10" x14ac:dyDescent="0.25">
      <c r="H465"/>
      <c r="I465" s="74"/>
      <c r="J465" s="74"/>
    </row>
    <row r="466" spans="8:10" x14ac:dyDescent="0.25">
      <c r="H466"/>
      <c r="I466" s="74"/>
      <c r="J466" s="74"/>
    </row>
    <row r="467" spans="8:10" x14ac:dyDescent="0.25">
      <c r="H467"/>
      <c r="I467" s="74"/>
      <c r="J467" s="74"/>
    </row>
    <row r="468" spans="8:10" x14ac:dyDescent="0.25">
      <c r="H468"/>
      <c r="I468" s="74"/>
      <c r="J468" s="74"/>
    </row>
    <row r="469" spans="8:10" x14ac:dyDescent="0.25">
      <c r="H469"/>
      <c r="I469" s="74"/>
      <c r="J469" s="74"/>
    </row>
    <row r="470" spans="8:10" x14ac:dyDescent="0.25">
      <c r="H470"/>
      <c r="I470" s="74"/>
      <c r="J470" s="74"/>
    </row>
    <row r="471" spans="8:10" x14ac:dyDescent="0.25">
      <c r="H471"/>
      <c r="I471" s="74"/>
      <c r="J471" s="74"/>
    </row>
    <row r="472" spans="8:10" x14ac:dyDescent="0.25">
      <c r="H472"/>
      <c r="I472" s="74"/>
      <c r="J472" s="74"/>
    </row>
    <row r="473" spans="8:10" x14ac:dyDescent="0.25">
      <c r="H473"/>
      <c r="I473" s="74"/>
      <c r="J473" s="74"/>
    </row>
    <row r="474" spans="8:10" x14ac:dyDescent="0.25">
      <c r="H474"/>
      <c r="I474" s="74"/>
      <c r="J474" s="74"/>
    </row>
    <row r="475" spans="8:10" x14ac:dyDescent="0.25">
      <c r="H475"/>
      <c r="I475" s="74"/>
      <c r="J475" s="74"/>
    </row>
    <row r="476" spans="8:10" x14ac:dyDescent="0.25">
      <c r="H476"/>
      <c r="I476" s="74"/>
      <c r="J476" s="74"/>
    </row>
    <row r="477" spans="8:10" x14ac:dyDescent="0.25">
      <c r="H477"/>
      <c r="I477" s="74"/>
      <c r="J477" s="74"/>
    </row>
    <row r="478" spans="8:10" x14ac:dyDescent="0.25">
      <c r="H478"/>
      <c r="I478" s="74"/>
      <c r="J478" s="74"/>
    </row>
    <row r="479" spans="8:10" x14ac:dyDescent="0.25">
      <c r="H479"/>
      <c r="I479" s="74"/>
      <c r="J479" s="74"/>
    </row>
    <row r="480" spans="8:10" x14ac:dyDescent="0.25">
      <c r="H480"/>
      <c r="I480" s="74"/>
      <c r="J480" s="74"/>
    </row>
    <row r="481" spans="8:10" x14ac:dyDescent="0.25">
      <c r="H481"/>
      <c r="I481" s="74"/>
      <c r="J481" s="74"/>
    </row>
    <row r="482" spans="8:10" x14ac:dyDescent="0.25">
      <c r="H482"/>
      <c r="I482" s="74"/>
      <c r="J482" s="74"/>
    </row>
    <row r="483" spans="8:10" x14ac:dyDescent="0.25">
      <c r="H483"/>
      <c r="I483" s="74"/>
      <c r="J483" s="74"/>
    </row>
    <row r="484" spans="8:10" x14ac:dyDescent="0.25">
      <c r="H484"/>
      <c r="I484" s="74"/>
      <c r="J484" s="74"/>
    </row>
    <row r="485" spans="8:10" x14ac:dyDescent="0.25">
      <c r="H485"/>
      <c r="I485" s="74"/>
      <c r="J485" s="74"/>
    </row>
    <row r="486" spans="8:10" x14ac:dyDescent="0.25">
      <c r="H486"/>
      <c r="I486" s="74"/>
      <c r="J486" s="74"/>
    </row>
    <row r="487" spans="8:10" x14ac:dyDescent="0.25">
      <c r="H487"/>
      <c r="I487" s="74"/>
      <c r="J487" s="74"/>
    </row>
    <row r="488" spans="8:10" x14ac:dyDescent="0.25">
      <c r="H488"/>
      <c r="I488" s="74"/>
      <c r="J488" s="74"/>
    </row>
    <row r="489" spans="8:10" x14ac:dyDescent="0.25">
      <c r="H489"/>
      <c r="I489" s="74"/>
      <c r="J489" s="74"/>
    </row>
    <row r="490" spans="8:10" x14ac:dyDescent="0.25">
      <c r="H490"/>
      <c r="I490" s="74"/>
      <c r="J490" s="74"/>
    </row>
    <row r="491" spans="8:10" x14ac:dyDescent="0.25">
      <c r="H491"/>
      <c r="I491" s="74"/>
      <c r="J491" s="74"/>
    </row>
    <row r="492" spans="8:10" x14ac:dyDescent="0.25">
      <c r="H492"/>
      <c r="I492" s="74"/>
      <c r="J492" s="74"/>
    </row>
    <row r="493" spans="8:10" x14ac:dyDescent="0.25">
      <c r="H493"/>
      <c r="I493" s="74"/>
      <c r="J493" s="74"/>
    </row>
    <row r="494" spans="8:10" x14ac:dyDescent="0.25">
      <c r="H494"/>
      <c r="I494" s="74"/>
      <c r="J494" s="74"/>
    </row>
    <row r="495" spans="8:10" x14ac:dyDescent="0.25">
      <c r="H495"/>
      <c r="I495" s="74"/>
      <c r="J495" s="74"/>
    </row>
    <row r="496" spans="8:10" x14ac:dyDescent="0.25">
      <c r="H496"/>
      <c r="I496" s="74"/>
      <c r="J496" s="74"/>
    </row>
    <row r="497" spans="8:10" x14ac:dyDescent="0.25">
      <c r="H497"/>
      <c r="I497" s="74"/>
      <c r="J497" s="74"/>
    </row>
    <row r="498" spans="8:10" x14ac:dyDescent="0.25">
      <c r="H498"/>
      <c r="I498" s="74"/>
      <c r="J498" s="74"/>
    </row>
    <row r="499" spans="8:10" x14ac:dyDescent="0.25">
      <c r="H499"/>
      <c r="I499" s="74"/>
      <c r="J499" s="74"/>
    </row>
    <row r="500" spans="8:10" x14ac:dyDescent="0.25">
      <c r="H500"/>
      <c r="I500" s="74"/>
      <c r="J500" s="74"/>
    </row>
    <row r="501" spans="8:10" x14ac:dyDescent="0.25">
      <c r="H501"/>
      <c r="I501" s="74"/>
      <c r="J501" s="74"/>
    </row>
    <row r="502" spans="8:10" x14ac:dyDescent="0.25">
      <c r="H502"/>
      <c r="I502" s="74"/>
      <c r="J502" s="74"/>
    </row>
    <row r="503" spans="8:10" x14ac:dyDescent="0.25">
      <c r="H503"/>
      <c r="I503" s="74"/>
      <c r="J503" s="74"/>
    </row>
    <row r="504" spans="8:10" x14ac:dyDescent="0.25">
      <c r="H504"/>
      <c r="I504" s="74"/>
      <c r="J504" s="74"/>
    </row>
    <row r="505" spans="8:10" x14ac:dyDescent="0.25">
      <c r="H505"/>
      <c r="I505" s="74"/>
      <c r="J505" s="74"/>
    </row>
    <row r="506" spans="8:10" x14ac:dyDescent="0.25">
      <c r="H506"/>
      <c r="I506" s="74"/>
      <c r="J506" s="74"/>
    </row>
    <row r="507" spans="8:10" x14ac:dyDescent="0.25">
      <c r="H507"/>
      <c r="I507" s="74"/>
      <c r="J507" s="74"/>
    </row>
    <row r="508" spans="8:10" x14ac:dyDescent="0.25">
      <c r="H508"/>
      <c r="I508" s="74"/>
      <c r="J508" s="74"/>
    </row>
    <row r="509" spans="8:10" x14ac:dyDescent="0.25">
      <c r="H509"/>
      <c r="I509" s="74"/>
      <c r="J509" s="74"/>
    </row>
    <row r="510" spans="8:10" x14ac:dyDescent="0.25">
      <c r="H510"/>
      <c r="I510" s="74"/>
      <c r="J510" s="74"/>
    </row>
    <row r="511" spans="8:10" x14ac:dyDescent="0.25">
      <c r="H511"/>
      <c r="I511" s="74"/>
      <c r="J511" s="74"/>
    </row>
    <row r="512" spans="8:10" x14ac:dyDescent="0.25">
      <c r="H512"/>
      <c r="I512" s="74"/>
      <c r="J512" s="74"/>
    </row>
    <row r="513" spans="8:10" x14ac:dyDescent="0.25">
      <c r="H513"/>
      <c r="I513" s="74"/>
      <c r="J513" s="74"/>
    </row>
    <row r="514" spans="8:10" x14ac:dyDescent="0.25">
      <c r="H514"/>
      <c r="I514" s="74"/>
      <c r="J514" s="74"/>
    </row>
    <row r="515" spans="8:10" x14ac:dyDescent="0.25">
      <c r="H515"/>
      <c r="I515" s="74"/>
      <c r="J515" s="74"/>
    </row>
    <row r="516" spans="8:10" x14ac:dyDescent="0.25">
      <c r="H516"/>
      <c r="I516" s="74"/>
      <c r="J516" s="74"/>
    </row>
    <row r="517" spans="8:10" x14ac:dyDescent="0.25">
      <c r="H517"/>
      <c r="I517" s="74"/>
      <c r="J517" s="74"/>
    </row>
    <row r="518" spans="8:10" x14ac:dyDescent="0.25">
      <c r="H518"/>
      <c r="I518" s="74"/>
      <c r="J518" s="74"/>
    </row>
    <row r="519" spans="8:10" x14ac:dyDescent="0.25">
      <c r="H519"/>
      <c r="I519" s="74"/>
      <c r="J519" s="74"/>
    </row>
    <row r="520" spans="8:10" x14ac:dyDescent="0.25">
      <c r="H520"/>
      <c r="I520" s="74"/>
      <c r="J520" s="74"/>
    </row>
    <row r="521" spans="8:10" x14ac:dyDescent="0.25">
      <c r="H521"/>
      <c r="I521" s="74"/>
      <c r="J521" s="74"/>
    </row>
    <row r="522" spans="8:10" x14ac:dyDescent="0.25">
      <c r="H522"/>
      <c r="I522" s="74"/>
      <c r="J522" s="74"/>
    </row>
    <row r="523" spans="8:10" x14ac:dyDescent="0.25">
      <c r="H523"/>
      <c r="I523" s="74"/>
      <c r="J523" s="74"/>
    </row>
    <row r="524" spans="8:10" x14ac:dyDescent="0.25">
      <c r="H524"/>
      <c r="I524" s="74"/>
      <c r="J524" s="74"/>
    </row>
    <row r="525" spans="8:10" x14ac:dyDescent="0.25">
      <c r="H525"/>
      <c r="I525" s="74"/>
      <c r="J525" s="74"/>
    </row>
    <row r="526" spans="8:10" x14ac:dyDescent="0.25">
      <c r="H526"/>
      <c r="I526" s="74"/>
      <c r="J526" s="74"/>
    </row>
    <row r="527" spans="8:10" x14ac:dyDescent="0.25">
      <c r="H527"/>
      <c r="I527" s="74"/>
      <c r="J527" s="74"/>
    </row>
    <row r="528" spans="8:10" x14ac:dyDescent="0.25">
      <c r="H528"/>
      <c r="I528" s="74"/>
      <c r="J528" s="74"/>
    </row>
    <row r="529" spans="8:10" x14ac:dyDescent="0.25">
      <c r="H529"/>
      <c r="I529" s="74"/>
      <c r="J529" s="74"/>
    </row>
    <row r="530" spans="8:10" x14ac:dyDescent="0.25">
      <c r="H530"/>
      <c r="I530" s="74"/>
      <c r="J530" s="74"/>
    </row>
    <row r="531" spans="8:10" x14ac:dyDescent="0.25">
      <c r="H531"/>
      <c r="I531" s="74"/>
      <c r="J531" s="74"/>
    </row>
    <row r="532" spans="8:10" x14ac:dyDescent="0.25">
      <c r="H532"/>
      <c r="I532" s="74"/>
      <c r="J532" s="74"/>
    </row>
    <row r="533" spans="8:10" x14ac:dyDescent="0.25">
      <c r="H533"/>
      <c r="I533" s="74"/>
      <c r="J533" s="74"/>
    </row>
    <row r="534" spans="8:10" x14ac:dyDescent="0.25">
      <c r="H534"/>
      <c r="I534" s="74"/>
      <c r="J534" s="74"/>
    </row>
    <row r="535" spans="8:10" x14ac:dyDescent="0.25">
      <c r="H535"/>
      <c r="I535" s="74"/>
      <c r="J535" s="74"/>
    </row>
    <row r="536" spans="8:10" x14ac:dyDescent="0.25">
      <c r="H536"/>
      <c r="I536" s="74"/>
      <c r="J536" s="74"/>
    </row>
    <row r="537" spans="8:10" x14ac:dyDescent="0.25">
      <c r="H537"/>
      <c r="I537" s="74"/>
      <c r="J537" s="74"/>
    </row>
    <row r="538" spans="8:10" x14ac:dyDescent="0.25">
      <c r="H538"/>
      <c r="I538" s="74"/>
      <c r="J538" s="74"/>
    </row>
    <row r="539" spans="8:10" x14ac:dyDescent="0.25">
      <c r="H539"/>
      <c r="I539" s="74"/>
      <c r="J539" s="74"/>
    </row>
    <row r="540" spans="8:10" x14ac:dyDescent="0.25">
      <c r="H540"/>
      <c r="I540" s="74"/>
      <c r="J540" s="74"/>
    </row>
    <row r="541" spans="8:10" x14ac:dyDescent="0.25">
      <c r="H541"/>
      <c r="I541" s="74"/>
      <c r="J541" s="74"/>
    </row>
    <row r="542" spans="8:10" x14ac:dyDescent="0.25">
      <c r="H542"/>
      <c r="I542" s="74"/>
      <c r="J542" s="74"/>
    </row>
    <row r="543" spans="8:10" x14ac:dyDescent="0.25">
      <c r="H543"/>
      <c r="I543" s="74"/>
      <c r="J543" s="74"/>
    </row>
    <row r="544" spans="8:10" x14ac:dyDescent="0.25">
      <c r="H544"/>
      <c r="I544" s="74"/>
      <c r="J544" s="74"/>
    </row>
    <row r="545" spans="8:10" x14ac:dyDescent="0.25">
      <c r="H545"/>
      <c r="I545" s="74"/>
      <c r="J545" s="74"/>
    </row>
    <row r="546" spans="8:10" x14ac:dyDescent="0.25">
      <c r="H546"/>
      <c r="I546" s="74"/>
      <c r="J546" s="74"/>
    </row>
    <row r="547" spans="8:10" x14ac:dyDescent="0.25">
      <c r="H547"/>
      <c r="I547" s="74"/>
      <c r="J547" s="74"/>
    </row>
    <row r="548" spans="8:10" x14ac:dyDescent="0.25">
      <c r="H548"/>
      <c r="I548" s="74"/>
      <c r="J548" s="74"/>
    </row>
    <row r="549" spans="8:10" x14ac:dyDescent="0.25">
      <c r="H549"/>
      <c r="I549" s="74"/>
      <c r="J549" s="74"/>
    </row>
    <row r="550" spans="8:10" x14ac:dyDescent="0.25">
      <c r="H550"/>
      <c r="I550" s="74"/>
      <c r="J550" s="74"/>
    </row>
    <row r="551" spans="8:10" x14ac:dyDescent="0.25">
      <c r="H551"/>
      <c r="I551" s="74"/>
      <c r="J551" s="74"/>
    </row>
    <row r="552" spans="8:10" x14ac:dyDescent="0.25">
      <c r="H552"/>
      <c r="I552" s="74"/>
      <c r="J552" s="74"/>
    </row>
    <row r="553" spans="8:10" x14ac:dyDescent="0.25">
      <c r="H553"/>
      <c r="I553" s="74"/>
      <c r="J553" s="74"/>
    </row>
    <row r="554" spans="8:10" x14ac:dyDescent="0.25">
      <c r="H554"/>
      <c r="I554" s="74"/>
      <c r="J554" s="74"/>
    </row>
  </sheetData>
  <autoFilter ref="A6:BB221">
    <filterColumn colId="6">
      <filters>
        <filter val="Sim"/>
      </filters>
    </filterColumn>
  </autoFilter>
  <mergeCells count="8">
    <mergeCell ref="AA5:AB5"/>
    <mergeCell ref="AA4:AB4"/>
    <mergeCell ref="E4:F4"/>
    <mergeCell ref="U5:Y5"/>
    <mergeCell ref="S5:T5"/>
    <mergeCell ref="Q5:R5"/>
    <mergeCell ref="Q4:T4"/>
    <mergeCell ref="U4:Y4"/>
  </mergeCells>
  <conditionalFormatting sqref="L163:L164">
    <cfRule type="cellIs" dxfId="33" priority="208" operator="equal">
      <formula>"alterar cód"</formula>
    </cfRule>
  </conditionalFormatting>
  <conditionalFormatting sqref="M73 M94 M40:M42 M78:M87 M92 M120:M121 M143:M145 M148:M155 M75:M76 M44:M50 M22:M38 M123:M127 M96:M118 K137:L155 M137:M141 M8:M10 K161:K215 M59:M71 K7:L11 K161:M164 L13:M14 K12 K59:L127 K24:L50 L22:L23">
    <cfRule type="expression" dxfId="32" priority="201">
      <formula>#REF!="!!!"</formula>
    </cfRule>
  </conditionalFormatting>
  <conditionalFormatting sqref="L44">
    <cfRule type="cellIs" dxfId="31" priority="190" operator="equal">
      <formula>"alterar cód"</formula>
    </cfRule>
  </conditionalFormatting>
  <conditionalFormatting sqref="L44">
    <cfRule type="cellIs" dxfId="30" priority="189" operator="equal">
      <formula>"alterar cód"</formula>
    </cfRule>
  </conditionalFormatting>
  <conditionalFormatting sqref="L46">
    <cfRule type="cellIs" dxfId="29" priority="184" operator="equal">
      <formula>"alterar cód"</formula>
    </cfRule>
  </conditionalFormatting>
  <conditionalFormatting sqref="L62">
    <cfRule type="cellIs" dxfId="28" priority="181" operator="equal">
      <formula>"alterar cód"</formula>
    </cfRule>
  </conditionalFormatting>
  <conditionalFormatting sqref="L63">
    <cfRule type="cellIs" dxfId="27" priority="178" operator="equal">
      <formula>"alterar cód"</formula>
    </cfRule>
  </conditionalFormatting>
  <conditionalFormatting sqref="L64">
    <cfRule type="cellIs" dxfId="26" priority="172" operator="equal">
      <formula>"alterar cód"</formula>
    </cfRule>
  </conditionalFormatting>
  <conditionalFormatting sqref="L65">
    <cfRule type="cellIs" dxfId="25" priority="169" operator="equal">
      <formula>"alterar cód"</formula>
    </cfRule>
  </conditionalFormatting>
  <conditionalFormatting sqref="L66">
    <cfRule type="cellIs" dxfId="24" priority="166" operator="equal">
      <formula>"alterar cód"</formula>
    </cfRule>
  </conditionalFormatting>
  <conditionalFormatting sqref="L72">
    <cfRule type="cellIs" dxfId="23" priority="163" operator="equal">
      <formula>"alterar cód"</formula>
    </cfRule>
  </conditionalFormatting>
  <conditionalFormatting sqref="L73">
    <cfRule type="cellIs" dxfId="22" priority="160" operator="equal">
      <formula>"alterar cód"</formula>
    </cfRule>
  </conditionalFormatting>
  <conditionalFormatting sqref="L120">
    <cfRule type="cellIs" dxfId="21" priority="152" operator="equal">
      <formula>"alterar cód"</formula>
    </cfRule>
  </conditionalFormatting>
  <conditionalFormatting sqref="K5">
    <cfRule type="duplicateValues" dxfId="20" priority="254"/>
  </conditionalFormatting>
  <conditionalFormatting sqref="M147">
    <cfRule type="expression" dxfId="19" priority="141">
      <formula>#REF!="!!!"</formula>
    </cfRule>
  </conditionalFormatting>
  <conditionalFormatting sqref="AE74">
    <cfRule type="expression" dxfId="18" priority="116">
      <formula>#REF!="!!!"</formula>
    </cfRule>
  </conditionalFormatting>
  <conditionalFormatting sqref="AC74">
    <cfRule type="cellIs" dxfId="17" priority="114" operator="equal">
      <formula>"alterar cód"</formula>
    </cfRule>
  </conditionalFormatting>
  <conditionalFormatting sqref="AC74">
    <cfRule type="expression" dxfId="16" priority="113">
      <formula>#REF!="!!!"</formula>
    </cfRule>
  </conditionalFormatting>
  <conditionalFormatting sqref="M11">
    <cfRule type="expression" dxfId="15" priority="112">
      <formula>#REF!="!!!"</formula>
    </cfRule>
  </conditionalFormatting>
  <conditionalFormatting sqref="M12">
    <cfRule type="expression" dxfId="14" priority="110">
      <formula>#REF!="!!!"</formula>
    </cfRule>
  </conditionalFormatting>
  <conditionalFormatting sqref="K58:M58">
    <cfRule type="expression" dxfId="13" priority="73">
      <formula>#REF!="!!!"</formula>
    </cfRule>
  </conditionalFormatting>
  <conditionalFormatting sqref="K51:M57">
    <cfRule type="expression" dxfId="12" priority="71">
      <formula>#REF!="!!!"</formula>
    </cfRule>
  </conditionalFormatting>
  <conditionalFormatting sqref="L15:M17 L19:M21">
    <cfRule type="expression" dxfId="11" priority="69">
      <formula>#REF!="!!!"</formula>
    </cfRule>
  </conditionalFormatting>
  <conditionalFormatting sqref="K156:M160">
    <cfRule type="expression" dxfId="10" priority="62">
      <formula>#REF!="!!!"</formula>
    </cfRule>
  </conditionalFormatting>
  <conditionalFormatting sqref="K128:L136 M130:M136 M128">
    <cfRule type="expression" dxfId="9" priority="33">
      <formula>#REF!="!!!"</formula>
    </cfRule>
  </conditionalFormatting>
  <conditionalFormatting sqref="K216:K220">
    <cfRule type="expression" dxfId="8" priority="31">
      <formula>#REF!="!!!"</formula>
    </cfRule>
  </conditionalFormatting>
  <conditionalFormatting sqref="K221">
    <cfRule type="expression" dxfId="7" priority="27">
      <formula>#REF!="!!!"</formula>
    </cfRule>
  </conditionalFormatting>
  <conditionalFormatting sqref="M129">
    <cfRule type="expression" dxfId="6" priority="17">
      <formula>#REF!="!!!"</formula>
    </cfRule>
  </conditionalFormatting>
  <conditionalFormatting sqref="L18:M18">
    <cfRule type="expression" dxfId="5" priority="13">
      <formula>#REF!="!!!"</formula>
    </cfRule>
  </conditionalFormatting>
  <conditionalFormatting sqref="L12">
    <cfRule type="expression" dxfId="4" priority="12">
      <formula>#REF!="!!!"</formula>
    </cfRule>
  </conditionalFormatting>
  <conditionalFormatting sqref="L120">
    <cfRule type="cellIs" dxfId="3" priority="11" operator="equal">
      <formula>"alterar cód"</formula>
    </cfRule>
  </conditionalFormatting>
  <conditionalFormatting sqref="L178">
    <cfRule type="cellIs" dxfId="2" priority="10" operator="equal">
      <formula>"alterar cód"</formula>
    </cfRule>
  </conditionalFormatting>
  <conditionalFormatting sqref="L178">
    <cfRule type="expression" dxfId="1" priority="9">
      <formula>#REF!="!!!"</formula>
    </cfRule>
  </conditionalFormatting>
  <conditionalFormatting sqref="K13:K23">
    <cfRule type="expression" dxfId="0" priority="1">
      <formula>#REF!="!!!"</formula>
    </cfRule>
  </conditionalFormatting>
  <dataValidations count="3">
    <dataValidation type="list" allowBlank="1" showInputMessage="1" showErrorMessage="1" sqref="S175 Q173 U175 U173 U170:U171 U167:U168 S167:S173 S180 Q182 S182 U182 Q180 U180 U107:U113 Q107:Q113 S42:S49 S86:S105 Q167:Q168 Q170:Q171 Q178 U178 S177:S178 S184 U184 Q184 Q186:Q190 U186:U189 S186:S189 S107:S113 S115:S118 O190:O194 S191:S194 O180 O182 O188 O170 O168 O173 O175 Q175 S152:S164 S221 U221 P221:Q221 X221 O107:O164 U115:U164 X107:X189 Q115:Q164 S120:S150 S8:S40 Q8:Q49 U7:U40 X7:X40 O7:O105 U42:U105 X42:X105 Q59:Q105 S59:S84">
      <formula1>"Sim,Não"</formula1>
    </dataValidation>
    <dataValidation type="list" allowBlank="1" showInputMessage="1" showErrorMessage="1" sqref="B221 B7:B179">
      <formula1>"Ok,Ajustar (info ao lado),Excluir"</formula1>
    </dataValidation>
    <dataValidation type="list" allowBlank="1" showInputMessage="1" showErrorMessage="1" sqref="E7:E221">
      <formula1>"Encerrar,Incorporar,Escopo será absorvido pela Oi,Em alinhamento"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6" id="{3D888762-03A5-4D2D-9837-2F4CB1B378CC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K113</xm:sqref>
        </x14:conditionalFormatting>
        <x14:conditionalFormatting xmlns:xm="http://schemas.microsoft.com/office/excel/2006/main">
          <x14:cfRule type="iconSet" priority="334" id="{4CF500FB-B269-43C7-A63A-2F622F7635F0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K161:K162 K112 K114:K127 K137:K155</xm:sqref>
        </x14:conditionalFormatting>
        <x14:conditionalFormatting xmlns:xm="http://schemas.microsoft.com/office/excel/2006/main">
          <x14:cfRule type="iconSet" priority="345" id="{AC2B4626-D73A-43F4-B7C4-D083A39F278C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K137:K155 K7:K12 K161:K215 K59:K127 K24:K50</xm:sqref>
        </x14:conditionalFormatting>
        <x14:conditionalFormatting xmlns:xm="http://schemas.microsoft.com/office/excel/2006/main">
          <x14:cfRule type="iconSet" priority="75" id="{495AB7A6-F7F1-4911-89DD-F3F3D3DCEE0B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K58</xm:sqref>
        </x14:conditionalFormatting>
        <x14:conditionalFormatting xmlns:xm="http://schemas.microsoft.com/office/excel/2006/main">
          <x14:cfRule type="iconSet" priority="72" id="{5ADE26B2-7CF6-4E0A-A7D9-E81992A0FD41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K51:K57</xm:sqref>
        </x14:conditionalFormatting>
        <x14:conditionalFormatting xmlns:xm="http://schemas.microsoft.com/office/excel/2006/main">
          <x14:cfRule type="iconSet" priority="356" id="{3A5E3369-7FDA-4459-BD1C-5D3133074B55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K156:K160</xm:sqref>
        </x14:conditionalFormatting>
        <x14:conditionalFormatting xmlns:xm="http://schemas.microsoft.com/office/excel/2006/main">
          <x14:cfRule type="iconSet" priority="34" id="{859F893B-D88A-4938-A00C-59500D5CC993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K128:K136</xm:sqref>
        </x14:conditionalFormatting>
        <x14:conditionalFormatting xmlns:xm="http://schemas.microsoft.com/office/excel/2006/main">
          <x14:cfRule type="iconSet" priority="35" id="{2BE6FE9F-C4E8-4754-AB70-3542F04B8C6C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K128:K136</xm:sqref>
        </x14:conditionalFormatting>
        <x14:conditionalFormatting xmlns:xm="http://schemas.microsoft.com/office/excel/2006/main">
          <x14:cfRule type="iconSet" priority="32" id="{60C6F8AD-4A19-4601-8FDC-58F42A6657D8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K216:K220</xm:sqref>
        </x14:conditionalFormatting>
        <x14:conditionalFormatting xmlns:xm="http://schemas.microsoft.com/office/excel/2006/main">
          <x14:cfRule type="iconSet" priority="28" id="{8414368E-D4FD-441A-8616-A65066B34DE5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K221</xm:sqref>
        </x14:conditionalFormatting>
        <x14:conditionalFormatting xmlns:xm="http://schemas.microsoft.com/office/excel/2006/main">
          <x14:cfRule type="iconSet" priority="2" id="{92DCFBBB-EB83-4F3F-88F8-AB4C2E491D3B}">
            <x14:iconSet custom="1">
              <x14:cfvo type="percent">
                <xm:f>0</xm:f>
              </x14:cfvo>
              <x14:cfvo type="num">
                <xm:f>1</xm:f>
              </x14:cfvo>
              <x14:cfvo type="num">
                <xm:f>90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K13:K23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9"/>
  <sheetViews>
    <sheetView workbookViewId="0">
      <selection activeCell="B9" sqref="B9"/>
    </sheetView>
  </sheetViews>
  <sheetFormatPr defaultRowHeight="15" x14ac:dyDescent="0.25"/>
  <cols>
    <col min="1" max="1" width="5.42578125" customWidth="1"/>
    <col min="2" max="2" width="29.7109375" bestFit="1" customWidth="1"/>
    <col min="3" max="3" width="51.5703125" customWidth="1"/>
    <col min="4" max="4" width="68.5703125" customWidth="1"/>
  </cols>
  <sheetData>
    <row r="4" spans="2:4" ht="38.25" customHeight="1" x14ac:dyDescent="0.25">
      <c r="B4" s="147" t="s">
        <v>609</v>
      </c>
      <c r="C4" s="147" t="s">
        <v>610</v>
      </c>
      <c r="D4" s="1" t="s">
        <v>612</v>
      </c>
    </row>
    <row r="5" spans="2:4" ht="20.25" customHeight="1" x14ac:dyDescent="0.25">
      <c r="B5" s="151" t="s">
        <v>611</v>
      </c>
      <c r="C5" s="147"/>
    </row>
    <row r="9" spans="2:4" s="147" customFormat="1" ht="23.25" customHeight="1" x14ac:dyDescent="0.25">
      <c r="B9" s="151" t="s">
        <v>615</v>
      </c>
      <c r="C9" s="15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Planilha2</vt:lpstr>
      <vt:lpstr>1. Base de Contratos</vt:lpstr>
      <vt:lpstr>Iniciar Contato com Fornecedor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LAIZA RANGEL ESTABILE</dc:creator>
  <cp:keywords/>
  <dc:description/>
  <cp:lastModifiedBy>Viviane De Medeiros Calaca Gomes</cp:lastModifiedBy>
  <cp:revision/>
  <dcterms:created xsi:type="dcterms:W3CDTF">2025-01-22T18:24:35Z</dcterms:created>
  <dcterms:modified xsi:type="dcterms:W3CDTF">2025-03-20T17:48:57Z</dcterms:modified>
  <cp:category/>
  <cp:contentStatus/>
</cp:coreProperties>
</file>