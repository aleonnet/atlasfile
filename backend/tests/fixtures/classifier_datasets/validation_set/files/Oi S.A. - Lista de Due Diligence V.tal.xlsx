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https://d.docs.live.net/f43270e39eaaf1d1/Área de Trabalho/_Projetos/Alienação Participação Vtal/"/>
    </mc:Choice>
  </mc:AlternateContent>
  <xr:revisionPtr revIDLastSave="0" documentId="8_{DE19DFE6-9DB0-B644-B1E5-80CE53C0A07B}" xr6:coauthVersionLast="47" xr6:coauthVersionMax="47" xr10:uidLastSave="{00000000-0000-0000-0000-000000000000}"/>
  <bookViews>
    <workbookView xWindow="0" yWindow="600" windowWidth="34840" windowHeight="18640" activeTab="1" xr2:uid="{00000000-000D-0000-FFFF-FFFF00000000}"/>
  </bookViews>
  <sheets>
    <sheet name="Jurídico" sheetId="1" r:id="rId1"/>
    <sheet name="Entidade Consolidada" sheetId="2" r:id="rId2"/>
    <sheet name="Operacional" sheetId="3" r:id="rId3"/>
  </sheets>
  <definedNames>
    <definedName name="_xlnm.Print_Area" localSheetId="1">'Entidade Consolidada'!$C$4:$I$54</definedName>
    <definedName name="_xlnm.Print_Area" localSheetId="0">Jurídico!$C$4:$I$108</definedName>
    <definedName name="_xlnm.Print_Area" localSheetId="2">Operacional!$C$4:$I$71</definedName>
    <definedName name="_xlnm.Print_Titles" localSheetId="1">'Entidade Consolidada'!$4:$10</definedName>
    <definedName name="_xlnm.Print_Titles" localSheetId="0">Jurídico!$4:$10</definedName>
    <definedName name="_xlnm.Print_Titles" localSheetId="2">Operacional!$4:$10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5" i="1" s="1"/>
  <c r="D16" i="1" s="1"/>
  <c r="D17" i="1" s="1"/>
  <c r="D18" i="1" s="1"/>
  <c r="D19" i="1" s="1"/>
  <c r="D20" i="1" s="1"/>
  <c r="D21" i="1" s="1"/>
  <c r="D22" i="1" s="1"/>
  <c r="D23" i="1" s="1"/>
  <c r="D24" i="1" s="1"/>
  <c r="D25" i="1" s="1"/>
  <c r="D26" i="1" s="1"/>
  <c r="D27" i="1" s="1"/>
  <c r="D28" i="1" s="1"/>
  <c r="D29" i="1" s="1"/>
  <c r="D30" i="1" s="1"/>
  <c r="D31" i="1" s="1"/>
  <c r="D32" i="1" s="1"/>
  <c r="D31" i="3"/>
  <c r="D32" i="3" s="1"/>
  <c r="D33" i="3" s="1"/>
  <c r="D34" i="3" s="1"/>
  <c r="D38" i="3" s="1"/>
  <c r="D39" i="3" s="1"/>
  <c r="D40" i="3" s="1"/>
  <c r="D41" i="3" s="1"/>
  <c r="D42" i="3" s="1"/>
  <c r="D43" i="3" s="1"/>
  <c r="D44" i="3" s="1"/>
  <c r="D45" i="3" s="1"/>
  <c r="D46" i="3" s="1"/>
  <c r="D47" i="3" s="1"/>
  <c r="D48" i="3" s="1"/>
  <c r="D49" i="3" s="1"/>
  <c r="D53" i="3" s="1"/>
  <c r="D54" i="3" s="1"/>
  <c r="D55" i="3" s="1"/>
  <c r="D56" i="3" s="1"/>
  <c r="D57" i="3" s="1"/>
  <c r="D61" i="3" s="1"/>
  <c r="D62" i="3" s="1"/>
  <c r="D63" i="3" s="1"/>
  <c r="D64" i="3" s="1"/>
  <c r="D68" i="3" s="1"/>
  <c r="D14" i="3"/>
  <c r="D15" i="3" s="1"/>
  <c r="D16" i="3" s="1"/>
  <c r="D17" i="3" s="1"/>
  <c r="D18" i="3" s="1"/>
  <c r="D19" i="3" s="1"/>
  <c r="D20" i="3" s="1"/>
  <c r="D21" i="3" s="1"/>
  <c r="D22" i="3" s="1"/>
  <c r="D23" i="3" s="1"/>
  <c r="D24" i="3" s="1"/>
  <c r="D25" i="3" s="1"/>
  <c r="D26" i="3" s="1"/>
  <c r="D27" i="3" s="1"/>
  <c r="D28" i="3" s="1"/>
  <c r="H5" i="3"/>
  <c r="D42" i="2"/>
  <c r="D43" i="2" s="1"/>
  <c r="D44" i="2" s="1"/>
  <c r="D45" i="2" s="1"/>
  <c r="D46" i="2" s="1"/>
  <c r="D47" i="2" s="1"/>
  <c r="D51" i="2" s="1"/>
  <c r="D52" i="2" s="1"/>
  <c r="D28" i="2"/>
  <c r="D29" i="2" s="1"/>
  <c r="D30" i="2" s="1"/>
  <c r="D31" i="2" s="1"/>
  <c r="D32" i="2" s="1"/>
  <c r="D33" i="2" s="1"/>
  <c r="D34" i="2" s="1"/>
  <c r="D35" i="2" s="1"/>
  <c r="D15" i="2"/>
  <c r="D16" i="2" s="1"/>
  <c r="D17" i="2" s="1"/>
  <c r="D21" i="2" s="1"/>
  <c r="D22" i="2" s="1"/>
  <c r="D23" i="2" s="1"/>
  <c r="D24" i="2" s="1"/>
  <c r="D25" i="2" s="1"/>
  <c r="D26" i="2" s="1"/>
  <c r="H5" i="2"/>
  <c r="D94" i="1" l="1"/>
  <c r="D73" i="1"/>
  <c r="D55" i="1"/>
  <c r="D56" i="1" s="1"/>
  <c r="D57" i="1" s="1"/>
  <c r="D62" i="1" s="1"/>
  <c r="D50" i="1"/>
  <c r="D41" i="1"/>
  <c r="D43" i="1" s="1"/>
  <c r="D44" i="1" s="1"/>
  <c r="H5" i="1"/>
  <c r="D95" i="1" l="1"/>
</calcChain>
</file>

<file path=xl/sharedStrings.xml><?xml version="1.0" encoding="utf-8"?>
<sst xmlns="http://schemas.openxmlformats.org/spreadsheetml/2006/main" count="348" uniqueCount="188">
  <si>
    <t>Oi S.A.</t>
  </si>
  <si>
    <t>RASCUNHO | CONFIDENCIAL</t>
  </si>
  <si>
    <t>Lista Inicial de Due Diligence da V.tal - Jurídico</t>
  </si>
  <si>
    <t>Nº</t>
  </si>
  <si>
    <t>Ponto de Diligência</t>
  </si>
  <si>
    <t>Referência VDR</t>
  </si>
  <si>
    <t>Status</t>
  </si>
  <si>
    <t>Observações</t>
  </si>
  <si>
    <t>Estrutura Societária e Propriedade</t>
  </si>
  <si>
    <t>Não fornecido</t>
  </si>
  <si>
    <t>Capitalização e Financiamento</t>
  </si>
  <si>
    <t>Contratos Relevantes</t>
  </si>
  <si>
    <t>Trabalhista &amp; Emprego</t>
  </si>
  <si>
    <t>Aquisições/Alienações e Joint Ventures</t>
  </si>
  <si>
    <t>Litígios</t>
  </si>
  <si>
    <t>Tributário</t>
  </si>
  <si>
    <t>Regulatório</t>
  </si>
  <si>
    <t>Diversos</t>
  </si>
  <si>
    <t>Lista Inicial de Due Diligence da V.tal - Entidade Consolidada</t>
  </si>
  <si>
    <t>Ponto de Diligência Crítico a Priorizar na Lista Resumida</t>
  </si>
  <si>
    <t>Geral</t>
  </si>
  <si>
    <t>Dados Financeiros</t>
  </si>
  <si>
    <t>Modelo de projeções financeiras de cinco anos e orçamento mensal de 2025</t>
  </si>
  <si>
    <t>Vendas &amp; Marketing</t>
  </si>
  <si>
    <t>Lista dos principais concorrentes e qualquer análise disponível sobre o cenário competitivo comparando outras ofertas e escopo de operações com a Companhia.</t>
  </si>
  <si>
    <t>Custos e Despesas</t>
  </si>
  <si>
    <t>Lista Inicial de Due Diligence da V.tal - Operacional (Específico por Linha de Negócio)</t>
  </si>
  <si>
    <t>Rede de Fibra (FTTx)</t>
  </si>
  <si>
    <t>Em que percentual das cidades em que a V.tal opera ela é a única rede FTTH disponível?</t>
  </si>
  <si>
    <t>Tecto (Data Centers)</t>
  </si>
  <si>
    <t>Distribuição dos clientes entre aqueles que possuem e operam seus próprios equipamentos ou aqueles que apenas alugam o espaço.</t>
  </si>
  <si>
    <t>GlobeNet (Cabos Submarinos)</t>
  </si>
  <si>
    <t>Cópia dos regulamentos internos de todos os órgãos administrativos, executivos ou consultivos da Companhia (quer estabelecidos no estatuto social ou não);</t>
  </si>
  <si>
    <t>Cópia de todos os livros societários da Companhia (registrados ou não na Junta Comercial competente), incluindo o termo de abertura, todas as páginas com registros até a primeira página em branco, e o termo de encerramento;</t>
  </si>
  <si>
    <t>Caso o capital social da Companhia seja representado por ações escriturais: (i) cópia do contrato de prestação de serviços com a instituição responsável pelo registro das ações escriturais; (ii) extratos atualizados das contas de depósito das ações escriturais dos acionistas que detêm mais de 1% de qualquer classe, tipo ou do total de ações da Companhia; e (iii) cópia de uma lista de todos os acionistas;</t>
  </si>
  <si>
    <t>Informar se existe qualquer processo administrativo contra a Companhia (em andamento ou encerrado) perante a CVM ou o Conselho de Recursos do Sistema Financeiro Nacional (CRSFN). Em caso afirmativo, fornecer cópia integral de tais processos;</t>
  </si>
  <si>
    <t>Contratos de crédito, contratos de empréstimo, notas promissórias, títulos e escrituras de emissão;</t>
  </si>
  <si>
    <t>Empréstimos e garantias de obrigações de terceiros, se houver;</t>
  </si>
  <si>
    <t>Cópias dos contratos da Companhia com governos federal, estadual e municipal, se aplicável, juntamente com todos os anexos, tabelas e aditamentos, se houver;</t>
  </si>
  <si>
    <t>Cópias de todos os contratos de outorga referentes a todas as outorgas atualmente pendentes no âmbito dos planos de participação acionária da Companhia e de outros programas de incentivos, em dinheiro ou em participação acionária;</t>
  </si>
  <si>
    <t>Políticas e procedimentos de Recursos Humanos;</t>
  </si>
  <si>
    <t>Propriedade</t>
  </si>
  <si>
    <t>Cópias de todos os contratos de arrendamento de imóveis e equipamentos relevantes nos quais a Companhia seja locatária;</t>
  </si>
  <si>
    <t>Relação de aluguéis bem como recebíveis de aluguel para quaisquer locais alugados ou sublocados;</t>
  </si>
  <si>
    <t>Certidões relativas a tributos federais e declarações complementares relacionadas às contribuições previdenciárias emitidas pela Receita Federal do Brasil, certidões de situação fiscal e/ou certidões de dívidas e processos emitidas pela Secretaria da Fazenda dos estados, em relação a tributos estaduais, e certidões de situação fiscal e/ou certidões de dívidas e processos emitidas pela Secretaria da Fazenda Municipal, relativas a impostos sobre bens móveis ou imóveis;</t>
  </si>
  <si>
    <t>Lista e cópia dos contratos relevantes relacionados à rede e à prestação de serviços de telecomunicações dos quais a Companhia é parte (i.e. contratos de construção de rede, cessão de uso de infraestrutura, SWAP, fibras ópticas, contratos build-to-suit);</t>
  </si>
  <si>
    <t>Qualquer outra informação relevante/material para a Companhia não listada acima.</t>
  </si>
  <si>
    <t>Ponto de Diligência Crítico a Priorizar</t>
  </si>
  <si>
    <t>Quaisquer relatórios de terceiros disponíveis, incluindo, mas não se limitando a, relatórios de Qualidade dos Lucros/Receitas e estudos de mercado.</t>
  </si>
  <si>
    <t>Os CLSs da V.tal são sistemas fechados (i.e., operam apenas nos cabos submarinos da Globenet) ou estações de desembarque de cabos abertas (i.e., neutras quanto a operadoras)?</t>
  </si>
  <si>
    <t>Com relação aos CLSs da V.tal, o processamento de dados ocorre no próprio CLS (i.e., um campus de colocation de estação de aterragem de cabos) ou é encaminhado para outro data center da V.tal?</t>
  </si>
  <si>
    <t>5G (Soluções In-Building e Soluções Street-Level)</t>
  </si>
  <si>
    <t>Integração da Noi (ClientCo)</t>
  </si>
  <si>
    <t>Relação dos prejuízos fiscais federais e estaduais e demais créditos e atributos tributários da Companhia, apurados até o encerramento do último exercício fiscal, com indicação de eventuais projeções para o exercício corrente, bem como das respectivas datas de expiração e das limitações legais aplicáveis à sua utilização.</t>
  </si>
  <si>
    <t>Lista das fiscalizações realizadas pelas autoridades fiscais, aduaneiras ou previdenciárias em âmbito federal, estadual ou municipal, em andamento ou ocorridas nos últimos 6 anos, com indicação das respectivas autuações lavradas pelas autoridades (se aplicável);</t>
  </si>
  <si>
    <t>Relação dos bens de titularidade da Companhia ou de terceiros — inclusive subsidiárias, sócios/acionistas e administradores — que tenham sido onerados, dados em garantia ou objeto de penhora em processos judiciais ou administrativos em benefício da Companhia, com indicação do bem, do valor atribuído à respectiva garantia e do processo a que se vinculam.</t>
  </si>
  <si>
    <t>Lista dos membros do Conselho de Administração e dos diretores da V.tal e suas subsidiárias (incluindo seus respectivos cargos e eventual participação em comitês) atualmente empossados;</t>
  </si>
  <si>
    <t>Cópia de todos os documentos relacionados a fusões, incorporações (consolidações), cisões, transformações em outro tipo societário, aquisições ou qualquer outra forma de reorganização societária envolvendo a Companhia, direta ou indiretamente, dos últimos 5 anos;</t>
  </si>
  <si>
    <t>Cópia de todos os contratos com partes relacionadas, tais como contratos com entidades controladas, afiliadas ou entidades sob controle comum, com quotistas / acionistas, diretores, administradores ou funcionários, dos quais a Companhia seja parte, incluindo garantias concedidas em relação a tais contratos, e quaisquer suplementos, aditivos ou outros contratos relacionados aos contratos com prates relacionadas;</t>
  </si>
  <si>
    <t>Cópia de todos os contratos celebrados pela Companhia e por seus administradores estatutários, incluindo quaisquer contratos de diretoria/administração, contratos de prestação de serviços, acordos de não concorrência, outros pactos restritivos, contratos de bônus e de incentivos etc.;</t>
  </si>
  <si>
    <t>Relação listando todos os detentores de participação societária da V.tal e as participações detidas por esses titulares (incluindo quaisquer valores mobiliários derivativos, como opções ou bônus de subscrição);</t>
  </si>
  <si>
    <t>Hipotecas registradas e não registradas, instrumentos de trust, contratos de garantia, declarações de financiamento e outros documentos de garantia e notificações de ônus/gravames;</t>
  </si>
  <si>
    <t>Cópias de toda a documentação dos planos de benefícios dos empregados, incluindo planos de aposentadoria, benefícios de assistência médica e planos de benefícios pós-aposentadoria;</t>
  </si>
  <si>
    <t>Cópias de quaisquer contratos e documentos (incluindo memorandos de oferta) relacionados a qualquer reorganização, aquisição, alienação, fusão, joint venture, parceria, investimento relevante ou outra transação similar, concluída ou proposta, fora do curso normal dos negócios, e qualquer correspondência relevante relacionada ao exposto;</t>
  </si>
  <si>
    <t>Cópias de todos os contratos relativos a imóveis que a V.tal mantém com a Oi, incluindo contratos de comodato</t>
  </si>
  <si>
    <t>Quaisquer decisões definitivas e irrecorríveis, respostas a consultas ou medidas liminares utilizadas pela Companhia, de forma ordinária, para fins de apuração, compensação, suspensão, depósito ou pagamento de tributos;</t>
  </si>
  <si>
    <t>Cópias das declarações de imposto de renda e demais tributos sobre a renda apresentadas pela Companhia nos últimos 3 (três) exercícios, incluindo exercícios anteriores ainda sujeitos a fiscalização ou autuações fiscais;</t>
  </si>
  <si>
    <t>Lista e breve descrição de qualquer investigação ou ação de fiscalização em andamento, ou inquérito instaurado ou iniciado pela Anatel ou outros agentes reguladores relevantes em relação à Companhia;</t>
  </si>
  <si>
    <t>Favor fornecer cópias de todos os contratos relevantes relacionados à propriedade intelectual, incluindo, sem limitação, licenças de propriedade intelectual e contratos de desenvolvimento de software, bem como instrumentos assinados com os empregados da Companhia que tratem da titularidade da propriedade intelectual;</t>
  </si>
  <si>
    <r>
      <t>Cópias de todos os documentos societários, incluindo estatutos, contratos sociais e regulamentos internos (ou equivalentes), acordos de acionistas, acordos de joint venture, contratos de sociedade limitada,</t>
    </r>
    <r>
      <rPr>
        <i/>
        <sz val="9"/>
        <color theme="1"/>
        <rFont val="Segoe UI"/>
        <family val="2"/>
      </rPr>
      <t xml:space="preserve"> side letters </t>
    </r>
    <r>
      <rPr>
        <sz val="9"/>
        <color theme="1"/>
        <rFont val="Segoe UI"/>
        <family val="2"/>
      </rPr>
      <t>ou acordos similares, conforme alterados ou modificados até a presente data;</t>
    </r>
  </si>
  <si>
    <r>
      <rPr>
        <sz val="9"/>
        <color theme="1"/>
        <rFont val="Segoe UI"/>
        <family val="2"/>
      </rPr>
      <t>Informações e documentos relativos a todas as ofertas públicas de valores mobiliários realizadas pela Companhia, no Brasil ou no exterior</t>
    </r>
    <r>
      <rPr>
        <sz val="9"/>
        <color rgb="FFFF0000"/>
        <rFont val="Segoe UI"/>
        <family val="2"/>
      </rPr>
      <t>;</t>
    </r>
  </si>
  <si>
    <r>
      <rPr>
        <sz val="9"/>
        <color theme="1"/>
        <rFont val="Segoe UI"/>
        <family val="2"/>
      </rPr>
      <t xml:space="preserve">Cópia dos acordos de indenidade e </t>
    </r>
    <r>
      <rPr>
        <i/>
        <sz val="9"/>
        <color theme="1"/>
        <rFont val="Segoe UI"/>
        <family val="2"/>
      </rPr>
      <t>comfort letters</t>
    </r>
    <r>
      <rPr>
        <sz val="9"/>
        <color theme="1"/>
        <rFont val="Segoe UI"/>
        <family val="2"/>
      </rPr>
      <t xml:space="preserve"> concedidos aos executivos pela Companhia, a qualquer tempo;</t>
    </r>
  </si>
  <si>
    <r>
      <t>Cópias de todos os contratos e documentos relativos ao capital social da Companhia dos quais a Companhia seja parte ou nos quais ela seja emissora de quaisquer valores mobiliários, incluindo contratos de compra de ações (</t>
    </r>
    <r>
      <rPr>
        <i/>
        <sz val="9"/>
        <color theme="1"/>
        <rFont val="Segoe UI"/>
        <family val="2"/>
      </rPr>
      <t>SPAs</t>
    </r>
    <r>
      <rPr>
        <sz val="9"/>
        <color theme="1"/>
        <rFont val="Segoe UI"/>
        <family val="2"/>
      </rPr>
      <t>), contratos de subscrição, contratos de colocação privada, memorandos de oferta, direitos de venda, direitos de preferência, direitos de primeira recusa (</t>
    </r>
    <r>
      <rPr>
        <i/>
        <sz val="9"/>
        <color theme="1"/>
        <rFont val="Segoe UI"/>
        <family val="2"/>
      </rPr>
      <t>ROFR</t>
    </r>
    <r>
      <rPr>
        <sz val="9"/>
        <color theme="1"/>
        <rFont val="Segoe UI"/>
        <family val="2"/>
      </rPr>
      <t>),</t>
    </r>
    <r>
      <rPr>
        <i/>
        <sz val="9"/>
        <color theme="1"/>
        <rFont val="Segoe UI"/>
        <family val="2"/>
      </rPr>
      <t xml:space="preserve"> registration rights</t>
    </r>
    <r>
      <rPr>
        <sz val="9"/>
        <color theme="1"/>
        <rFont val="Segoe UI"/>
        <family val="2"/>
      </rPr>
      <t>, opções, bônus de subscrição e/ou valores mobiliários conversíveis;</t>
    </r>
  </si>
  <si>
    <r>
      <t>Quaisquer obrigações/pactos restritivos (</t>
    </r>
    <r>
      <rPr>
        <i/>
        <sz val="9"/>
        <color theme="1"/>
        <rFont val="Segoe UI"/>
        <family val="2"/>
      </rPr>
      <t>covenants</t>
    </r>
    <r>
      <rPr>
        <sz val="9"/>
        <color theme="1"/>
        <rFont val="Segoe UI"/>
        <family val="2"/>
      </rPr>
      <t>) ou limites correlatos ao endividamento da V.tal;</t>
    </r>
  </si>
  <si>
    <t>Apresentações corporativas incluindo apresentações a credores, materiais de marketing e apresentações a investidores utilizados no roadshow com credores do 2S24.</t>
  </si>
  <si>
    <t>Materiais disponíveis sobre posicionamento competitivo e empresas com atuação na área.</t>
  </si>
  <si>
    <t>KPIs-alvo para os próximos cinco anos, incluindo Home Passed, quilometragem de infraestrutura de fibra, construção de data centers e planejamento de ocupação de data centers.</t>
  </si>
  <si>
    <t>Quaisquer estudos de caso de clientes disponíveis.</t>
  </si>
  <si>
    <t>Cópias de atas de reuniões ou deliberações do conselho de administração (ou da diretoria) e das assembleias gerais de acionistas da Companhia dos últimos 3 anos que tenham saído do curso ordinário dos negócios da Companhia;</t>
  </si>
  <si>
    <t>Cópia das apólices de seguro da Companhia e cópias de todas as apólices de seguro D&amp;O ou acordos similares da Companhia;</t>
  </si>
  <si>
    <r>
      <t>Um organograma da Companhia (incluindo, para evitar dúvidas, todas as subsidiárias e afiliadas), refletindo (</t>
    </r>
    <r>
      <rPr>
        <sz val="9"/>
        <color theme="6" tint="-0.249977111117893"/>
        <rFont val="Segoe UI"/>
        <family val="2"/>
      </rPr>
      <t>a) UF d</t>
    </r>
    <r>
      <rPr>
        <sz val="9"/>
        <color theme="1"/>
        <rFont val="Segoe UI"/>
        <family val="2"/>
      </rPr>
      <t xml:space="preserve">a sede, (b) a participação societária e as porcentagens de participação, e (c) </t>
    </r>
    <r>
      <rPr>
        <sz val="9"/>
        <color theme="6" tint="-0.249977111117893"/>
        <rFont val="Segoe UI"/>
        <family val="2"/>
      </rPr>
      <t>a classificação para fins de imposto de renda de cada entidade;</t>
    </r>
  </si>
  <si>
    <t>Lista de estabelecimentos ativos, incluindo o nº do CNPJ (ou equivalente de identificação fiscal);</t>
  </si>
  <si>
    <t>Cópia das últimas demonstrações financeiras/contábeis da Companhia, incluindo parecer dos auditores externos e notas explicativas, se aplicável;</t>
  </si>
  <si>
    <t>Informações sobre ações de emissão da Companhia mantidas em tesouraria;</t>
  </si>
  <si>
    <t>Cópia de todas as comunicações recebidas ou enviadas à CVM sobre qualquer assunto ou situação irregular da Companhia como companhia aberta;</t>
  </si>
  <si>
    <t>Cópia de todas as comunicações recebidas da ou enviadas à B3 (ou outra bolsa de valores equivalente em que os valores mobiliários emitidos pela Companhia sejam negociados) sobre qualquer assunto ou situação irregular da Companhia com bolsas de valores;</t>
  </si>
  <si>
    <r>
      <t>Cópia de toda a documentação envolvendo planos de incentivo oferecidos pela Companhia, especialmente de opções de ações</t>
    </r>
    <r>
      <rPr>
        <sz val="9"/>
        <color theme="6" tint="-0.249977111117893"/>
        <rFont val="Segoe UI"/>
        <family val="2"/>
      </rPr>
      <t>;</t>
    </r>
  </si>
  <si>
    <t>No que se refere aos imóveis ocupados pela Companhia, favor fornecer uma planilha contendo as seguintes informações: (i) nome da unidade; (ii) endereço completo (localização, número e complemento, cidade e estado); (iii) finalidade principal (unidade industrial, centro de distribuição, escritório, loja, depósito, armazenagem, ponto de venda etc.); e (iv) forma de ocupação (próprio, alugado, contrato de comodato etc.);</t>
  </si>
  <si>
    <t>Cópia da matrícula atualizada, emitida pelo respectivo Cartório de Registro de Imóveis competente (válida por 30 dias) para cada um dos imóveis próprios ocupados pela Companhia;</t>
  </si>
  <si>
    <t>Para os imóveis de propriedade da Companhia fornecer cópia de quaisquer processos judiciais ou administrativos em andamento relativos à propriedade ou posse dos imóveis;</t>
  </si>
  <si>
    <t>Para os imóveis imóveis Locados favor fornecer cópia do contrato de locação padrão, parceria ou contratos similares (por exemplo, comodato) pelos quais a Companhia tem direito de uso;</t>
  </si>
  <si>
    <t>Cópias de todos os contratos de empréstimos ou financiamentos contraídos pela V.tal e atualmente em aberto;</t>
  </si>
  <si>
    <t>Além dos Contratos de Financiamento, cópias de todos os contratos de garantia ligados  ao endividamento atualmente em aberto;</t>
  </si>
  <si>
    <r>
      <t xml:space="preserve">Cópias de quaisquer outros contratos, arranjos ou transações entre a Companhia e quaisquer partes relacionadas, </t>
    </r>
    <r>
      <rPr>
        <sz val="9"/>
        <color theme="6" tint="-0.249977111117893"/>
        <rFont val="Segoe UI"/>
        <family val="2"/>
      </rPr>
      <t>incluindo quaisquer diretores, m</t>
    </r>
    <r>
      <rPr>
        <sz val="9"/>
        <color theme="1"/>
        <rFont val="Segoe UI"/>
        <family val="2"/>
      </rPr>
      <t>embros do conselho ou detentores de valores mobiliários da Companhia ou qualquer empresa ou outra entidade controlada por qualquer diretor, membro do conselho ou detentor de valores mobiliários da Companhia, atualmente propostos ou em vigor, ou consumados nos últimos três anos, incluindo quaisquer contratos, arranjos ou transações entre empresas do grupo;</t>
    </r>
  </si>
  <si>
    <r>
      <t>Favor fornecer (i)</t>
    </r>
    <r>
      <rPr>
        <sz val="9"/>
        <color rgb="FFFF0000"/>
        <rFont val="Segoe UI"/>
        <family val="2"/>
      </rPr>
      <t xml:space="preserve"> </t>
    </r>
    <r>
      <rPr>
        <sz val="9"/>
        <color theme="1"/>
        <rFont val="Segoe UI"/>
        <family val="2"/>
      </rPr>
      <t>cópias de todos os planos de pensão, saúde e bem-estar nos quais o pessoal participa; e (ii)</t>
    </r>
    <r>
      <rPr>
        <sz val="9"/>
        <color theme="6" tint="-0.249977111117893"/>
        <rFont val="Segoe UI"/>
        <family val="2"/>
      </rPr>
      <t xml:space="preserve"> cópias de planos de bônus, acordos de retenção ou contratos com cláusulas restritivas (como não concorrência)</t>
    </r>
    <r>
      <rPr>
        <sz val="9"/>
        <color theme="1"/>
        <rFont val="Segoe UI"/>
        <family val="2"/>
      </rPr>
      <t>;</t>
    </r>
  </si>
  <si>
    <t>Cópias de todos os documentos dos planos que prevejam benefícios pós-aposentadoria de assistência médica, seguro de vida e/ou outros benefícios assistenciais a aposentados;</t>
  </si>
  <si>
    <t>y</t>
  </si>
  <si>
    <t>Planilha contendo a relação de todos os litígios, arbitragens, mediações, audiências, processos, procedimentos, consultas ou investigações em curso (inclusive perante órgãos governamentais) que prejudiquem as atividades da Companhia, bem como decisões, sentenças, ordens, termos de ajustamento, acordos ou outros instrumentos aos quais a Companhia esteja vinculada, que imponham obrigações ou restrições a atividades futuras.</t>
  </si>
  <si>
    <r>
      <t>Valor total das provisões contábeis registradas pela Companhia, discriminado por contingências cíveis, trabalhistas e tri</t>
    </r>
    <r>
      <rPr>
        <sz val="9"/>
        <color theme="6" tint="-0.249977111117893"/>
        <rFont val="Segoe UI"/>
        <family val="2"/>
      </rPr>
      <t xml:space="preserve">butárias, com indicação dos critérios </t>
    </r>
    <r>
      <rPr>
        <sz val="9"/>
        <color theme="1"/>
        <rFont val="Segoe UI"/>
        <family val="2"/>
      </rPr>
      <t>adotados pela Companhia para a constituição de tais provisões.</t>
    </r>
  </si>
  <si>
    <t>Planillha contendo a relação de todos os processos administrativos de execução fiscal, medidas cautelares ou tutela provisória ou ações civis públicas envolvendo questões tributárias;</t>
  </si>
  <si>
    <r>
      <t xml:space="preserve">Planilha, tabela ou lista contendo todos os benefícios fiscais, sistemas de incentivos fiscais, </t>
    </r>
    <r>
      <rPr>
        <sz val="9"/>
        <color theme="6" tint="-0.249977111117893"/>
        <rFont val="Segoe UI"/>
        <family val="2"/>
      </rPr>
      <t>regimes especiais e regimes fiscais especiais em vigor, indicando as entidades sujeitas, o objeto, prazo e informações sobre o status de cumprimento das obrigações especificadas;</t>
    </r>
    <r>
      <rPr>
        <sz val="9"/>
        <color theme="1"/>
        <rFont val="Segoe UI"/>
        <family val="2"/>
      </rPr>
      <t xml:space="preserve"> </t>
    </r>
  </si>
  <si>
    <r>
      <t>Planilha contendo todos os acordos relacionados a programas de parcelamento ou anistias federais, municipais ou estaduais que a Companhia tenha aderido (REFIS, PAES, PAEX, Lei nº 11.941 e suas respectivas reaberturas, PEP, PPI, RQA, PRORELIT, PRT, Pert, outros</t>
    </r>
    <r>
      <rPr>
        <sz val="9"/>
        <color theme="6" tint="-0.249977111117893"/>
        <rFont val="Segoe UI"/>
        <family val="2"/>
      </rPr>
      <t xml:space="preserve"> parcelamentos etc.), incluindo: (i) composição das dívidas incluídas; (ii) </t>
    </r>
    <r>
      <rPr>
        <sz val="9"/>
        <color theme="1"/>
        <rFont val="Segoe UI"/>
        <family val="2"/>
      </rPr>
      <t>comprovantes de pagamento dos códigos de arrecadação específicos; e (iii) extratos atualizados de saldos;</t>
    </r>
  </si>
  <si>
    <t>Lista de quaisquer aprovações, autorizações, licenças, alvarás, franquias, certificados, registros, concessões, isenções etc. ("Autorizações") governamentais (federais, estaduais, municipais ou estrangeiras) que estejam irregulares e afetem a capacidade financeira ou operacional da Companhia;</t>
  </si>
  <si>
    <t>Favor fornecer lista e cópia de todos os procedimentos administrativos relevantes nos últimos 5 anos;</t>
  </si>
  <si>
    <t>Favor informar se a Companhia possui contratos firmados com entidades da Administração Pública. Em caso afirmativo, forneça cópia de todos os contratos;</t>
  </si>
  <si>
    <t>Lista de todos os processos licitatórios e outras concorrências nos quais a Companhia está atualmente habilitada;</t>
  </si>
  <si>
    <t>Cópia de todos os contratos regulados relevantes que a Companhia celebrou ou cujos termos estejam sujeitos a regulamentação específica, bem como suas respectivas homologações (por exemplo, acordos de compartilhamento de infraestrutura, interconexão);</t>
  </si>
  <si>
    <t>Favor fornecer uma lista e descrição (i) dos software e tecnologias proprietários da Companhia; (ii) dos softwares de terceiros relevantes e serviços de tecnologia da informação que são utilizados no negócio da Companhia, e cópias de todos os respectivos contratos; e (iii) comunicações, disputas e/ou litígios propostos por ou contra a Companhia que aleguem ou envolvam infração, apropriação indevida, validade ou propriedade de qualquer propriedade intelectual, ou confirmar que não existem;</t>
  </si>
  <si>
    <t>Favor informar se as atividades desenvolvidas pela Companhia estão situadas em área rural ou urbana e a quais imóveis e CNPJs se relacionam, bem como informar se são consideradas atividades potencialmente poluidoras ou se fazem uso de recursos naturais, sujeitas ao processo de licenciamento ambiental;</t>
  </si>
  <si>
    <t>Não disponível</t>
  </si>
  <si>
    <t>Ok</t>
  </si>
  <si>
    <t>Não houve pagamento de dividendos</t>
  </si>
  <si>
    <t>Não aplicável</t>
  </si>
  <si>
    <t>A ser atendido por DFs pro forma</t>
  </si>
  <si>
    <t>Esclarecer</t>
  </si>
  <si>
    <t>Não há transações relevantes com partes relacionadas, conforme a nossa definição de relevante</t>
  </si>
  <si>
    <t>Principais canais são facialmente consultáveis publicamente: Youtube, site da cia. e redes sociais</t>
  </si>
  <si>
    <t>Atendido pelo item 2</t>
  </si>
  <si>
    <t>Atendido pelo item 9</t>
  </si>
  <si>
    <t>Informação pública na Anatel</t>
  </si>
  <si>
    <t>A ser atendido pelo item 25</t>
  </si>
  <si>
    <t>Todos os clientes operam seus equipamentos</t>
  </si>
  <si>
    <t>As três principais carriers</t>
  </si>
  <si>
    <t>Termos e duração dos contratos com os 25 principais fornecedores.</t>
  </si>
  <si>
    <t>Análise qualitativa dos componentes de cada um dos custos e despesas listados na Nota 7 dos resultados trimestrais públicos (i.e. página 22 dos resultados do 3T25).</t>
  </si>
  <si>
    <t>Planos de marketing ou estudos de mercado, incluindo quaisquer dados disponíveis sobre o mercado.</t>
  </si>
  <si>
    <t>Resumo das garantias existentes.</t>
  </si>
  <si>
    <t>Lista de quaisquer contratos de aquisição de clientes celebrados pela Companhia.</t>
  </si>
  <si>
    <t>Descrição do arcabouço de decisões de preços.</t>
  </si>
  <si>
    <t>Descrição de programas de marketing e precificação de clientes e folhetos/documentação de marketing de produtos e/ou serviços relacionados.</t>
  </si>
  <si>
    <t>Business plan detalhado consolidado e por unidade de negócio para os próximos 5 ou 10 anos, com detalhamento até o fluxo de caixa.</t>
  </si>
  <si>
    <t>Listagem de transações relevantes com partes relacionadas.</t>
  </si>
  <si>
    <t>Lista de investimentos da Companhia e de todas as subsidiárias e uma descrição de quaisquer restrições sobre caixa, investimentos de curto prazo ou valores mobiliários.</t>
  </si>
  <si>
    <t>Indicar potenciais ativos ou passivos que não constam no balanço, com a descrição e estimativa de valor para cada um, se aplicável.</t>
  </si>
  <si>
    <t>Relatórios de envelhecimento de contas a receber e contas a pagar do mês mais recente.</t>
  </si>
  <si>
    <t>Políticas e procedimentos contábeis.</t>
  </si>
  <si>
    <t>Dados de churn de clientes para os últimos três anos; tanto churn de clientes quanto de receita (reprecificação).</t>
  </si>
  <si>
    <t>Pipeline de vendas ou funil por segmento e cliente.</t>
  </si>
  <si>
    <t>Despesas de capital mensais/trimestrais históricas dos últimos três anos, incluindo detalhamento por categoria e descrição detalhada dos principais projetos.</t>
  </si>
  <si>
    <t>Lista dos 25 principais clientes por gasto, produtos vendidos, MRR, duração total do relacionamento com o cliente, aumento/diminuição da receita para cada um nos últimos 12 meses, data de vencimento do contrato atual.</t>
  </si>
  <si>
    <t>Waterfall de contratos com descrição de todos os contratos de clientes, incluindo nome do cliente, valor total do contrato (TCV) e receita mensal.</t>
  </si>
  <si>
    <t>Pipeline atual de clientes, incluindo receita mensal recorrente estimada e porcentagem de probabilidade de conquista.</t>
  </si>
  <si>
    <t>Número de clientes e o MRR médio por cliente, por segmento e tipo de cliente (residencial vs corporativo).</t>
  </si>
  <si>
    <t>Demonstrações financeiras mensais detalhadas dos últimos três anos e do acumulado do ano, tanto consolidadas quanto por fonte operacional (ou seja, FTTH, FTTT, IBS, SLS, Data Centers, sucata de cobre e quaisquer outras operações consideradas relevantes), estratificadas por Oi e Não-Oi.</t>
  </si>
  <si>
    <t>Tabela de dividendos pagos aos investidores nos últimos três exercícios fiscais.</t>
  </si>
  <si>
    <t>O balanço patrimonial consolidado não auditado mais recente do exercício fiscal atual.</t>
  </si>
  <si>
    <t>As demonstrações financeiras anuais consolidadas auditadas da Companhia dos últimos três exercícios fiscais, com as respectivas notas explicativas.</t>
  </si>
  <si>
    <t>Modelos de precificação para clientes. Forneça para o negócio de FTTH, para o negócio de FTTT, para o negócio de 5G (IBS &amp; SLS) e para qualquer outra unidade de negócios aplicável.</t>
  </si>
  <si>
    <t>Detalhamento da receita por cliente (tanto histórica quanto contratada para o futuro).</t>
  </si>
  <si>
    <t>Lista dos 25 principais clientes e o respectivo percentual da receita do exercício fiscal de 2024.</t>
  </si>
  <si>
    <t>Forneça o número de milhas de rota e o número de milhas de fibra (fibras), com o máximo de detalhes por segmento possível, ou seja, fibra vs cabo vs cobre, aéreo vs subterrâneo, próprio vs arrendado, etc.</t>
  </si>
  <si>
    <t>Forneça uma lista de todos os edifícios on-net, PoPs, COs, conexões e a lista de circuitos A-Z, bem como o número de edifícios por meio de acesso (fibra on-net, off-net/tipo 2).</t>
  </si>
  <si>
    <t>Descrição e estatísticas sobre o negócio FTTT, por operadora.</t>
  </si>
  <si>
    <t>Forneça a lista de servidões / direitos de passagem (RoW).</t>
  </si>
  <si>
    <t>Forneça o detalhamento da capacidade por segmento.</t>
  </si>
  <si>
    <t>Forneça um arquivo .kmz de rede detalhado.</t>
  </si>
  <si>
    <t>Forneça uma listagem ou o número de pontos de emenda/acesso.</t>
  </si>
  <si>
    <t>Forneça o cronograma detalhado de quaisquer custos de rede recorrentes ou não recorrentes, incluindo quaisquer taxas de direito de passagem (RoW), despesas com postes, licenças, contratos de manutenção de terceiros etc.</t>
  </si>
  <si>
    <t>Lista dos principais fornecedores incluindo nível de gasto.</t>
  </si>
  <si>
    <t>Descrição do modelo operacional utilizado para as operações de rede, incluindo a metodologia empregada para monitorar a saúde da rede, reportar falhas e alarmes, e despachar procedimentos de reparo que isolam e solucionam problemas.</t>
  </si>
  <si>
    <t>Descrição do modelo de segurança utilizado para garantir a integridade da rede, incluindo os métodos empregados para listas de acesso, firewalls e login autenticado para equipamentos de rede.</t>
  </si>
  <si>
    <t>Se aplicável, fornecer uma descrição do processo de provisionamento de clientes usado para ativar novos serviços ao cliente, delineando a atribuição de espaço de endereços, configuração do equipamento no cliente, pedido de circuito de acesso do cliente e processo de configuração da rede.</t>
  </si>
  <si>
    <t>Informações sobre interrupções dos últimos 2 anos. Incluir motivo da interrupção e duração da interrupção.</t>
  </si>
  <si>
    <t>Lista de todos os locais de colocation, descrição dos contratos de locação, especificações, especificações de shafts, se aplicável.</t>
  </si>
  <si>
    <t>Até hoje, em quantas cidades a V.tal opera? Fornecer a lista dessas cidades.</t>
  </si>
  <si>
    <t>Indicadores unitários do negócio de FTTH e de qualquer outra linha de negócios FTTx aplicável.</t>
  </si>
  <si>
    <t>Visão detalhada das operações de atacado por componente de receita e ativos detidos.</t>
  </si>
  <si>
    <t>Previsão quinquenal da expansão planejada de HP. Incluir quantidade e geografia da expansão.</t>
  </si>
  <si>
    <t>Modelo de precificação para clientes.</t>
  </si>
  <si>
    <t>Lista dos 25 principais clientes.</t>
  </si>
  <si>
    <t>Detalhamento da receita do exercício de 2024A por tipo de cliente (por exemplo, hyperscaler vs outros).</t>
  </si>
  <si>
    <t>Tabela dos locatários âncora/magneto de cada data center (operacional e em construção).</t>
  </si>
  <si>
    <t>Cronograma de contratos atuais e futuros, por MW alugado, data de início e término do contrato, e termos de pagamento.</t>
  </si>
  <si>
    <t>Detalhes sobre como cada data center é alimentado — i.e., qual rede elétrica é utilizada e quais são os termos de pagamento da eletricidade.</t>
  </si>
  <si>
    <t>Certificações obtidas por cada data center.</t>
  </si>
  <si>
    <t>Demonstração de resultados por data center.</t>
  </si>
  <si>
    <t>Lista de parceiros hyperscale e os acordos aplicáveis.</t>
  </si>
  <si>
    <t>Visão geral do plano de expansão.</t>
  </si>
  <si>
    <t>Receita de soluções internas como % da receita total do exercício de 2024A.</t>
  </si>
  <si>
    <t>Receita de soluções de nível de rua como % da receita total do exercício de 2024A.</t>
  </si>
  <si>
    <t>Quadro de contratos ativos e contratos em pipeline, incluindo cliente, modelo de precificação e duração do contrato.</t>
  </si>
  <si>
    <t>Lista dos cabos submarinos, incluindo capacidade e idade do cabo.</t>
  </si>
  <si>
    <t>Lista dos 25 principais clientes no exercício fiscal de 2024A.</t>
  </si>
  <si>
    <t>Previsão de CapEx para os próximos 5 anos.</t>
  </si>
  <si>
    <t>Receita total desde que a GlobeNet foi adquirida, tanto bruta quanto por unidade utilizada.</t>
  </si>
  <si>
    <t>Uma lista de todas as sinergias de negócios identificadas mas ainda não reconhecidas, detalhadas por aquisição. Informar o total de sinergias esperadas e o prazo para realização, detalhados por categoria (por exemplo, despesas gerais e administrativas, quadro de pessoal, etc.).</t>
  </si>
  <si>
    <t>Resumo dos contratos e acordos relevantes (incluindo aqueles com os maiores fornecedores, prestadores e clientes);</t>
  </si>
  <si>
    <t>No que se refere a cada um dos imóveis de propriedade da Companhia, favor fornecer cópia de: (i) a licença de operação emitida pelo município local; e (ii) o Auto de Vistoria do Corpo de Bombeiros (AVCB). Se não for esse o caso, forneça o status das ações tomadas para a adequação;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</si>
</sst>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9"/>
      <color theme="1"/>
      <name val="Segoe UI"/>
      <family val="2"/>
    </font>
    <font>
      <b/>
      <sz val="9"/>
      <color theme="0"/>
      <name val="Segoe UI"/>
      <family val="2"/>
    </font>
    <font>
      <b/>
      <sz val="9"/>
      <color theme="1"/>
      <name val="Segoe UI"/>
      <family val="2"/>
    </font>
    <font>
      <sz val="9"/>
      <color theme="8"/>
      <name val="Segoe UI"/>
      <family val="2"/>
    </font>
    <font>
      <sz val="11"/>
      <name val="Calibri"/>
      <family val="2"/>
    </font>
    <font>
      <b/>
      <sz val="10"/>
      <color theme="1"/>
      <name val="Segoe UI"/>
      <family val="2"/>
    </font>
    <font>
      <sz val="10"/>
      <color theme="1"/>
      <name val="Segoe UI"/>
      <family val="2"/>
    </font>
    <font>
      <b/>
      <sz val="10"/>
      <color rgb="FFFF0000"/>
      <name val="Segoe UI"/>
      <family val="2"/>
    </font>
    <font>
      <sz val="9"/>
      <color rgb="FFFF0000"/>
      <name val="Segoe UI"/>
      <family val="2"/>
    </font>
    <font>
      <i/>
      <sz val="10"/>
      <color theme="1"/>
      <name val="Segoe UI"/>
      <family val="2"/>
    </font>
    <font>
      <i/>
      <sz val="9"/>
      <color theme="1"/>
      <name val="Segoe UI"/>
      <family val="2"/>
    </font>
    <font>
      <sz val="9"/>
      <name val="Segoe UI"/>
      <family val="2"/>
    </font>
    <font>
      <sz val="9"/>
      <color theme="6" tint="-0.249977111117893"/>
      <name val="Segoe UI"/>
      <family val="2"/>
    </font>
  </fonts>
  <fills count="9">
    <fill>
      <patternFill patternType="none"/>
    </fill>
    <fill>
      <patternFill patternType="gray125"/>
    </fill>
    <fill>
      <patternFill patternType="solid">
        <fgColor theme="2" tint="0.79998168889431442"/>
        <bgColor indexed="64"/>
      </patternFill>
    </fill>
    <fill>
      <patternFill patternType="solid">
        <fgColor rgb="FFFFD5D8"/>
        <bgColor indexed="64"/>
      </patternFill>
    </fill>
    <fill>
      <patternFill patternType="solid">
        <fgColor theme="2"/>
        <bgColor indexed="64"/>
      </patternFill>
    </fill>
    <fill>
      <patternFill patternType="solid">
        <fgColor rgb="FFFFFFCC"/>
        <bgColor indexed="64"/>
      </patternFill>
    </fill>
    <fill>
      <patternFill patternType="solid">
        <fgColor theme="0"/>
        <bgColor indexed="64"/>
      </patternFill>
    </fill>
    <fill>
      <patternFill patternType="solid">
        <fgColor rgb="FF92D050"/>
        <bgColor indexed="64"/>
      </patternFill>
    </fill>
    <fill>
      <patternFill patternType="solid">
        <fgColor rgb="FFCBEDCE"/>
        <bgColor indexed="64"/>
      </patternFill>
    </fill>
  </fills>
  <borders count="10">
    <border>
      <left/>
      <right/>
      <top/>
      <bottom/>
      <diagonal/>
    </border>
    <border>
      <left style="thick">
        <color theme="0"/>
      </left>
      <right style="thick">
        <color theme="0"/>
      </right>
      <top style="thick">
        <color theme="0"/>
      </top>
      <bottom style="thick">
        <color theme="0"/>
      </bottom>
      <diagonal/>
    </border>
    <border>
      <left/>
      <right/>
      <top style="thin">
        <color theme="5" tint="0.59999389629810485"/>
      </top>
      <bottom/>
      <diagonal/>
    </border>
    <border>
      <left/>
      <right/>
      <top/>
      <bottom style="thin">
        <color indexed="64"/>
      </bottom>
      <diagonal/>
    </border>
    <border>
      <left/>
      <right/>
      <top style="thin">
        <color theme="5"/>
      </top>
      <bottom/>
      <diagonal/>
    </border>
    <border>
      <left/>
      <right/>
      <top style="thin">
        <color theme="5"/>
      </top>
      <bottom style="thin">
        <color theme="5"/>
      </bottom>
      <diagonal/>
    </border>
    <border>
      <left style="thick">
        <color theme="0"/>
      </left>
      <right style="thick">
        <color theme="0"/>
      </right>
      <top style="thin">
        <color theme="5"/>
      </top>
      <bottom style="thin">
        <color theme="5"/>
      </bottom>
      <diagonal/>
    </border>
    <border>
      <left style="thick">
        <color theme="0"/>
      </left>
      <right style="thick">
        <color theme="0"/>
      </right>
      <top style="thin">
        <color theme="5"/>
      </top>
      <bottom/>
      <diagonal/>
    </border>
    <border>
      <left/>
      <right/>
      <top/>
      <bottom style="thin">
        <color theme="5"/>
      </bottom>
      <diagonal/>
    </border>
    <border>
      <left style="thick">
        <color theme="0"/>
      </left>
      <right style="thick">
        <color theme="0"/>
      </right>
      <top/>
      <bottom style="thin">
        <color theme="5"/>
      </bottom>
      <diagonal/>
    </border>
  </borders>
  <cellStyleXfs count="1">
    <xf numFmtId="0" fontId="0" fillId="0" borderId="0"/>
  </cellStyleXfs>
  <cellXfs count="76">
    <xf numFmtId="0" fontId="0" fillId="0" borderId="0" xfId="0"/>
    <xf numFmtId="0" fontId="0" fillId="2" borderId="0" xfId="0" applyFill="1"/>
    <xf numFmtId="0" fontId="1" fillId="4" borderId="1" xfId="0" applyFont="1" applyFill="1" applyBorder="1" applyAlignment="1">
      <alignment horizontal="center" vertical="center"/>
    </xf>
    <xf numFmtId="0" fontId="0" fillId="0" borderId="0" xfId="0" applyAlignment="1">
      <alignment vertical="center"/>
    </xf>
    <xf numFmtId="0" fontId="4" fillId="0" borderId="0" xfId="0" applyFont="1"/>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2" xfId="0" applyBorder="1" applyAlignment="1">
      <alignment horizontal="left" vertical="center"/>
    </xf>
    <xf numFmtId="0" fontId="0" fillId="0" borderId="2" xfId="0"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3" fillId="0" borderId="0" xfId="0" applyFont="1" applyAlignment="1">
      <alignment horizontal="center" vertical="center"/>
    </xf>
    <xf numFmtId="0" fontId="5" fillId="0" borderId="0" xfId="0" applyFont="1"/>
    <xf numFmtId="0" fontId="6" fillId="0" borderId="3" xfId="0" applyFont="1" applyBorder="1"/>
    <xf numFmtId="0" fontId="6" fillId="0" borderId="0" xfId="0" applyFont="1"/>
    <xf numFmtId="0" fontId="7" fillId="0" borderId="0" xfId="0" applyFont="1" applyAlignment="1">
      <alignment horizontal="right"/>
    </xf>
    <xf numFmtId="0" fontId="6" fillId="0" borderId="3" xfId="0" applyFont="1" applyBorder="1" applyAlignment="1">
      <alignment horizontal="right"/>
    </xf>
    <xf numFmtId="0" fontId="8" fillId="0" borderId="0" xfId="0" applyFont="1" applyAlignment="1">
      <alignment horizontal="left" vertical="center" wrapText="1"/>
    </xf>
    <xf numFmtId="14" fontId="0" fillId="0" borderId="0" xfId="0" applyNumberFormat="1"/>
    <xf numFmtId="2" fontId="0" fillId="0" borderId="0" xfId="0" applyNumberFormat="1"/>
    <xf numFmtId="0" fontId="9" fillId="0" borderId="0" xfId="0" applyFont="1"/>
    <xf numFmtId="0" fontId="9" fillId="5" borderId="1" xfId="0" applyFont="1" applyFill="1" applyBorder="1"/>
    <xf numFmtId="0" fontId="0" fillId="0" borderId="4" xfId="0" applyBorder="1" applyAlignment="1">
      <alignment horizontal="left" vertical="center"/>
    </xf>
    <xf numFmtId="0" fontId="0" fillId="0" borderId="4" xfId="0" applyBorder="1" applyAlignment="1">
      <alignment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left" vertical="center"/>
    </xf>
    <xf numFmtId="0" fontId="0" fillId="0" borderId="5" xfId="0" applyBorder="1" applyAlignment="1">
      <alignment vertical="center" wrapText="1"/>
    </xf>
    <xf numFmtId="0" fontId="0" fillId="0" borderId="5" xfId="0" applyBorder="1" applyAlignment="1">
      <alignment horizontal="center" vertical="center"/>
    </xf>
    <xf numFmtId="0" fontId="3" fillId="3" borderId="6" xfId="0" applyFont="1" applyFill="1" applyBorder="1" applyAlignment="1">
      <alignment horizontal="center" vertical="center"/>
    </xf>
    <xf numFmtId="0" fontId="0" fillId="0" borderId="5" xfId="0" applyBorder="1" applyAlignment="1">
      <alignment horizontal="center" vertical="center" wrapText="1"/>
    </xf>
    <xf numFmtId="0" fontId="3" fillId="0" borderId="4" xfId="0" applyFont="1" applyBorder="1" applyAlignment="1">
      <alignment horizontal="center" vertical="center"/>
    </xf>
    <xf numFmtId="0" fontId="3" fillId="3" borderId="7" xfId="0" applyFont="1" applyFill="1" applyBorder="1" applyAlignment="1">
      <alignment horizontal="center"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3" fillId="0" borderId="5" xfId="0" applyFont="1" applyBorder="1" applyAlignment="1">
      <alignment horizontal="center" vertical="center"/>
    </xf>
    <xf numFmtId="0" fontId="8" fillId="0" borderId="5" xfId="0" applyFont="1" applyBorder="1" applyAlignment="1">
      <alignment horizontal="center" vertical="center" wrapText="1"/>
    </xf>
    <xf numFmtId="0" fontId="0" fillId="0" borderId="8" xfId="0" applyBorder="1" applyAlignment="1">
      <alignment horizontal="left" vertical="center"/>
    </xf>
    <xf numFmtId="0" fontId="0" fillId="0" borderId="8" xfId="0" applyBorder="1" applyAlignment="1">
      <alignment vertical="center" wrapText="1"/>
    </xf>
    <xf numFmtId="0" fontId="0" fillId="0" borderId="8" xfId="0" applyBorder="1" applyAlignment="1">
      <alignment horizontal="center" vertical="center"/>
    </xf>
    <xf numFmtId="0" fontId="3" fillId="3" borderId="9" xfId="0" applyFont="1" applyFill="1"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vertical="center"/>
    </xf>
    <xf numFmtId="0" fontId="8" fillId="0" borderId="5" xfId="0" applyFont="1" applyBorder="1" applyAlignment="1">
      <alignment vertical="center" wrapText="1"/>
    </xf>
    <xf numFmtId="0" fontId="0" fillId="6" borderId="4" xfId="0" applyFill="1" applyBorder="1" applyAlignment="1">
      <alignment horizontal="left" vertical="center"/>
    </xf>
    <xf numFmtId="0" fontId="0" fillId="6" borderId="4" xfId="0" applyFill="1" applyBorder="1" applyAlignment="1">
      <alignment vertical="center" wrapText="1"/>
    </xf>
    <xf numFmtId="0" fontId="0" fillId="6" borderId="5" xfId="0" applyFill="1" applyBorder="1" applyAlignment="1">
      <alignment horizontal="left" vertical="center"/>
    </xf>
    <xf numFmtId="0" fontId="0" fillId="6" borderId="5" xfId="0" applyFill="1" applyBorder="1" applyAlignment="1">
      <alignment vertical="center" wrapText="1"/>
    </xf>
    <xf numFmtId="0" fontId="1" fillId="7" borderId="1" xfId="0" applyFont="1" applyFill="1" applyBorder="1" applyAlignment="1">
      <alignment vertical="center"/>
    </xf>
    <xf numFmtId="0" fontId="1" fillId="7" borderId="1" xfId="0" applyFont="1" applyFill="1" applyBorder="1" applyAlignment="1">
      <alignment horizontal="center" vertical="center"/>
    </xf>
    <xf numFmtId="0" fontId="2" fillId="8" borderId="0" xfId="0" applyFont="1" applyFill="1"/>
    <xf numFmtId="0" fontId="0" fillId="8" borderId="0" xfId="0" applyFill="1"/>
    <xf numFmtId="0" fontId="2" fillId="8" borderId="0" xfId="0" applyFont="1" applyFill="1" applyAlignment="1">
      <alignment vertical="center"/>
    </xf>
    <xf numFmtId="0" fontId="0" fillId="8" borderId="0" xfId="0" applyFill="1" applyAlignment="1">
      <alignment vertical="center" wrapText="1"/>
    </xf>
    <xf numFmtId="0" fontId="0" fillId="8" borderId="0" xfId="0" applyFill="1" applyAlignment="1">
      <alignment vertical="center"/>
    </xf>
    <xf numFmtId="0" fontId="0" fillId="8" borderId="0" xfId="0" applyFill="1" applyAlignment="1">
      <alignment horizontal="center" vertical="center" wrapText="1"/>
    </xf>
    <xf numFmtId="0" fontId="9" fillId="6" borderId="1" xfId="0" applyFont="1" applyFill="1" applyBorder="1"/>
    <xf numFmtId="0" fontId="0" fillId="0" borderId="5" xfId="0" applyBorder="1" applyAlignment="1">
      <alignment horizontal="left" vertical="center" wrapText="1"/>
    </xf>
    <xf numFmtId="0" fontId="7" fillId="0" borderId="0" xfId="0" applyFont="1" applyAlignment="1">
      <alignment horizontal="left"/>
    </xf>
    <xf numFmtId="0" fontId="6" fillId="0" borderId="3" xfId="0" applyFont="1" applyBorder="1" applyAlignment="1">
      <alignment horizontal="left"/>
    </xf>
    <xf numFmtId="0" fontId="0" fillId="0" borderId="0" xfId="0" applyAlignment="1">
      <alignment horizontal="left"/>
    </xf>
    <xf numFmtId="0" fontId="1" fillId="7" borderId="1" xfId="0" applyFont="1" applyFill="1" applyBorder="1" applyAlignment="1">
      <alignment horizontal="left" vertical="center"/>
    </xf>
    <xf numFmtId="0" fontId="0" fillId="8" borderId="0" xfId="0" applyFill="1" applyAlignment="1">
      <alignment horizontal="left"/>
    </xf>
    <xf numFmtId="0" fontId="0" fillId="0" borderId="0" xfId="0" applyAlignment="1">
      <alignment horizontal="left" vertical="center" wrapText="1"/>
    </xf>
    <xf numFmtId="0" fontId="0" fillId="8" borderId="0" xfId="0" applyFill="1" applyAlignment="1">
      <alignment horizontal="left" vertical="center" wrapText="1"/>
    </xf>
    <xf numFmtId="0" fontId="0" fillId="0" borderId="2" xfId="0" applyBorder="1" applyAlignment="1">
      <alignment horizontal="left" vertical="center" wrapText="1"/>
    </xf>
    <xf numFmtId="0" fontId="12" fillId="0" borderId="5" xfId="0" applyFont="1" applyBorder="1" applyAlignment="1">
      <alignment vertical="center" wrapText="1"/>
    </xf>
    <xf numFmtId="0" fontId="3" fillId="0" borderId="6" xfId="0" applyFont="1" applyBorder="1" applyAlignment="1">
      <alignment horizontal="center" vertical="center"/>
    </xf>
    <xf numFmtId="0" fontId="11" fillId="8" borderId="7" xfId="0" applyFont="1" applyFill="1" applyBorder="1" applyAlignment="1">
      <alignment horizontal="center" vertic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8"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BED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Present 2015b">
      <a:dk1>
        <a:srgbClr val="525766"/>
      </a:dk1>
      <a:lt1>
        <a:srgbClr val="FFFFFF"/>
      </a:lt1>
      <a:dk2>
        <a:srgbClr val="002855"/>
      </a:dk2>
      <a:lt2>
        <a:srgbClr val="0067A5"/>
      </a:lt2>
      <a:accent1>
        <a:srgbClr val="508BC9"/>
      </a:accent1>
      <a:accent2>
        <a:srgbClr val="BCBFC6"/>
      </a:accent2>
      <a:accent3>
        <a:srgbClr val="7E8597"/>
      </a:accent3>
      <a:accent4>
        <a:srgbClr val="24B1B1"/>
      </a:accent4>
      <a:accent5>
        <a:srgbClr val="6C1E36"/>
      </a:accent5>
      <a:accent6>
        <a:srgbClr val="9FC3DA"/>
      </a:accent6>
      <a:hlink>
        <a:srgbClr val="0067A5"/>
      </a:hlink>
      <a:folHlink>
        <a:srgbClr val="7CACC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79998168889431442"/>
    <pageSetUpPr fitToPage="1"/>
  </sheetPr>
  <dimension ref="D4:H107"/>
  <sheetViews>
    <sheetView showGridLines="0" zoomScale="120" zoomScaleNormal="120" zoomScaleSheetLayoutView="90" workbookViewId="0">
      <selection activeCell="E70" sqref="E70"/>
    </sheetView>
  </sheetViews>
  <sheetFormatPr baseColWidth="10" defaultColWidth="9" defaultRowHeight="13" outlineLevelCol="1" x14ac:dyDescent="0.2"/>
  <cols>
    <col min="1" max="3" width="1.59765625" customWidth="1"/>
    <col min="5" max="5" width="150.59765625" customWidth="1"/>
    <col min="6" max="6" width="25.59765625" hidden="1" customWidth="1" outlineLevel="1"/>
    <col min="7" max="7" width="20.59765625" customWidth="1" collapsed="1"/>
    <col min="8" max="8" width="80.59765625" style="63" customWidth="1"/>
    <col min="9" max="9" width="1.59765625" customWidth="1"/>
  </cols>
  <sheetData>
    <row r="4" spans="4:8" ht="16" customHeight="1" x14ac:dyDescent="0.2">
      <c r="D4" s="15" t="s">
        <v>0</v>
      </c>
      <c r="H4" s="61" t="s">
        <v>1</v>
      </c>
    </row>
    <row r="5" spans="4:8" ht="16" customHeight="1" x14ac:dyDescent="0.2">
      <c r="D5" s="16" t="s">
        <v>2</v>
      </c>
      <c r="E5" s="16"/>
      <c r="F5" s="16"/>
      <c r="G5" s="16"/>
      <c r="H5" s="62" t="str">
        <f ca="1">TEXT( TODAY(), " mmmm d, yyyy" )</f>
        <v xml:space="preserve"> February 10, yyyy</v>
      </c>
    </row>
    <row r="6" spans="4:8" ht="16" customHeight="1" thickBot="1" x14ac:dyDescent="0.25">
      <c r="D6" s="17"/>
    </row>
    <row r="7" spans="4:8" ht="16.5" customHeight="1" thickTop="1" thickBot="1" x14ac:dyDescent="0.25">
      <c r="D7" s="24"/>
      <c r="E7" s="23" t="s">
        <v>47</v>
      </c>
    </row>
    <row r="8" spans="4:8" ht="16.5" customHeight="1" thickTop="1" thickBot="1" x14ac:dyDescent="0.25">
      <c r="D8" s="59"/>
      <c r="E8" s="23"/>
    </row>
    <row r="9" spans="4:8" s="3" customFormat="1" ht="16" customHeight="1" thickTop="1" thickBot="1" x14ac:dyDescent="0.25">
      <c r="D9" s="51" t="s">
        <v>3</v>
      </c>
      <c r="E9" s="51" t="s">
        <v>4</v>
      </c>
      <c r="F9" s="2" t="s">
        <v>5</v>
      </c>
      <c r="G9" s="52" t="s">
        <v>6</v>
      </c>
      <c r="H9" s="64" t="s">
        <v>7</v>
      </c>
    </row>
    <row r="10" spans="4:8" ht="14.5" customHeight="1" thickTop="1" x14ac:dyDescent="0.2"/>
    <row r="11" spans="4:8" x14ac:dyDescent="0.2">
      <c r="D11" s="53" t="s">
        <v>8</v>
      </c>
      <c r="E11" s="54"/>
      <c r="F11" s="1"/>
      <c r="G11" s="54"/>
      <c r="H11" s="65"/>
    </row>
    <row r="12" spans="4:8" ht="5.25" customHeight="1" x14ac:dyDescent="0.2"/>
    <row r="13" spans="4:8" ht="28" x14ac:dyDescent="0.2">
      <c r="D13" s="29">
        <v>1</v>
      </c>
      <c r="E13" s="30" t="s">
        <v>69</v>
      </c>
      <c r="F13" s="31"/>
      <c r="G13" s="32" t="s">
        <v>9</v>
      </c>
      <c r="H13" s="60"/>
    </row>
    <row r="14" spans="4:8" ht="28" x14ac:dyDescent="0.2">
      <c r="D14" s="29">
        <f>+D13+1</f>
        <v>2</v>
      </c>
      <c r="E14" s="30" t="s">
        <v>56</v>
      </c>
      <c r="F14" s="31"/>
      <c r="G14" s="32" t="s">
        <v>9</v>
      </c>
      <c r="H14" s="60"/>
    </row>
    <row r="15" spans="4:8" s="3" customFormat="1" ht="28" x14ac:dyDescent="0.2">
      <c r="D15" s="29">
        <f t="shared" ref="D15:D32" si="0">+D14+1</f>
        <v>3</v>
      </c>
      <c r="E15" s="30" t="s">
        <v>78</v>
      </c>
      <c r="F15" s="31"/>
      <c r="G15" s="32" t="s">
        <v>9</v>
      </c>
      <c r="H15" s="60"/>
    </row>
    <row r="16" spans="4:8" ht="14" x14ac:dyDescent="0.2">
      <c r="D16" s="29">
        <f t="shared" si="0"/>
        <v>4</v>
      </c>
      <c r="E16" s="30" t="s">
        <v>79</v>
      </c>
      <c r="F16" s="31"/>
      <c r="G16" s="32" t="s">
        <v>9</v>
      </c>
      <c r="H16" s="60"/>
    </row>
    <row r="17" spans="4:8" ht="28" x14ac:dyDescent="0.2">
      <c r="D17" s="29">
        <f t="shared" si="0"/>
        <v>5</v>
      </c>
      <c r="E17" s="30" t="s">
        <v>80</v>
      </c>
      <c r="F17" s="31"/>
      <c r="G17" s="32" t="s">
        <v>9</v>
      </c>
      <c r="H17" s="60"/>
    </row>
    <row r="18" spans="4:8" ht="14" x14ac:dyDescent="0.2">
      <c r="D18" s="29">
        <f t="shared" si="0"/>
        <v>6</v>
      </c>
      <c r="E18" s="69" t="s">
        <v>81</v>
      </c>
      <c r="F18" s="31"/>
      <c r="G18" s="32" t="s">
        <v>9</v>
      </c>
      <c r="H18" s="60"/>
    </row>
    <row r="19" spans="4:8" ht="14" x14ac:dyDescent="0.2">
      <c r="D19" s="29">
        <f t="shared" si="0"/>
        <v>7</v>
      </c>
      <c r="E19" s="30" t="s">
        <v>82</v>
      </c>
      <c r="F19" s="31"/>
      <c r="G19" s="32" t="s">
        <v>9</v>
      </c>
      <c r="H19" s="60"/>
    </row>
    <row r="20" spans="4:8" ht="14" x14ac:dyDescent="0.2">
      <c r="D20" s="29">
        <f t="shared" si="0"/>
        <v>8</v>
      </c>
      <c r="E20" s="30" t="s">
        <v>32</v>
      </c>
      <c r="F20" s="31"/>
      <c r="G20" s="32" t="s">
        <v>9</v>
      </c>
      <c r="H20" s="60"/>
    </row>
    <row r="21" spans="4:8" ht="28" x14ac:dyDescent="0.2">
      <c r="D21" s="29">
        <f t="shared" si="0"/>
        <v>9</v>
      </c>
      <c r="E21" s="30" t="s">
        <v>57</v>
      </c>
      <c r="F21" s="31"/>
      <c r="G21" s="32" t="s">
        <v>9</v>
      </c>
      <c r="H21" s="60"/>
    </row>
    <row r="22" spans="4:8" ht="28" x14ac:dyDescent="0.2">
      <c r="D22" s="29">
        <f t="shared" si="0"/>
        <v>10</v>
      </c>
      <c r="E22" s="30" t="s">
        <v>33</v>
      </c>
      <c r="F22" s="31"/>
      <c r="G22" s="32" t="s">
        <v>9</v>
      </c>
      <c r="H22" s="60"/>
    </row>
    <row r="23" spans="4:8" ht="42" x14ac:dyDescent="0.2">
      <c r="D23" s="29">
        <f t="shared" si="0"/>
        <v>11</v>
      </c>
      <c r="E23" s="30" t="s">
        <v>58</v>
      </c>
      <c r="F23" s="31"/>
      <c r="G23" s="32" t="s">
        <v>9</v>
      </c>
      <c r="H23" s="60"/>
    </row>
    <row r="24" spans="4:8" ht="14" x14ac:dyDescent="0.2">
      <c r="D24" s="29">
        <f t="shared" si="0"/>
        <v>12</v>
      </c>
      <c r="E24" s="30" t="s">
        <v>83</v>
      </c>
      <c r="F24" s="31"/>
      <c r="G24" s="32" t="s">
        <v>9</v>
      </c>
      <c r="H24" s="60"/>
    </row>
    <row r="25" spans="4:8" ht="42" x14ac:dyDescent="0.2">
      <c r="D25" s="29">
        <f t="shared" si="0"/>
        <v>13</v>
      </c>
      <c r="E25" s="30" t="s">
        <v>34</v>
      </c>
      <c r="F25" s="31"/>
      <c r="G25" s="32" t="s">
        <v>9</v>
      </c>
      <c r="H25" s="60"/>
    </row>
    <row r="26" spans="4:8" ht="14" x14ac:dyDescent="0.2">
      <c r="D26" s="29">
        <f t="shared" si="0"/>
        <v>14</v>
      </c>
      <c r="E26" s="46" t="s">
        <v>70</v>
      </c>
      <c r="F26" s="31"/>
      <c r="G26" s="32" t="s">
        <v>9</v>
      </c>
      <c r="H26" s="60"/>
    </row>
    <row r="27" spans="4:8" ht="14" x14ac:dyDescent="0.2">
      <c r="D27" s="29">
        <f t="shared" si="0"/>
        <v>15</v>
      </c>
      <c r="E27" s="69" t="s">
        <v>84</v>
      </c>
      <c r="F27" s="31"/>
      <c r="G27" s="32" t="s">
        <v>9</v>
      </c>
      <c r="H27" s="60"/>
    </row>
    <row r="28" spans="4:8" ht="28" x14ac:dyDescent="0.2">
      <c r="D28" s="29">
        <f t="shared" si="0"/>
        <v>16</v>
      </c>
      <c r="E28" s="30" t="s">
        <v>85</v>
      </c>
      <c r="F28" s="31"/>
      <c r="G28" s="32" t="s">
        <v>9</v>
      </c>
      <c r="H28" s="60"/>
    </row>
    <row r="29" spans="4:8" ht="28" x14ac:dyDescent="0.2">
      <c r="D29" s="29">
        <f t="shared" si="0"/>
        <v>17</v>
      </c>
      <c r="E29" s="30" t="s">
        <v>35</v>
      </c>
      <c r="F29" s="31"/>
      <c r="G29" s="32" t="s">
        <v>9</v>
      </c>
      <c r="H29" s="60"/>
    </row>
    <row r="30" spans="4:8" ht="28" x14ac:dyDescent="0.2">
      <c r="D30" s="29">
        <f t="shared" si="0"/>
        <v>18</v>
      </c>
      <c r="E30" s="30" t="s">
        <v>59</v>
      </c>
      <c r="F30" s="31"/>
      <c r="G30" s="32" t="s">
        <v>9</v>
      </c>
      <c r="H30" s="60"/>
    </row>
    <row r="31" spans="4:8" ht="14" x14ac:dyDescent="0.2">
      <c r="D31" s="29">
        <f t="shared" si="0"/>
        <v>19</v>
      </c>
      <c r="E31" s="30" t="s">
        <v>86</v>
      </c>
      <c r="F31" s="31"/>
      <c r="G31" s="32" t="s">
        <v>9</v>
      </c>
      <c r="H31" s="60"/>
    </row>
    <row r="32" spans="4:8" ht="14" x14ac:dyDescent="0.2">
      <c r="D32" s="29">
        <f t="shared" si="0"/>
        <v>20</v>
      </c>
      <c r="E32" s="30" t="s">
        <v>71</v>
      </c>
      <c r="F32" s="31"/>
      <c r="G32" s="32" t="s">
        <v>9</v>
      </c>
      <c r="H32" s="60"/>
    </row>
    <row r="33" spans="4:8" x14ac:dyDescent="0.2">
      <c r="D33" s="3"/>
      <c r="E33" s="9"/>
      <c r="F33" s="3"/>
      <c r="G33" s="3"/>
      <c r="H33" s="66"/>
    </row>
    <row r="34" spans="4:8" x14ac:dyDescent="0.2">
      <c r="D34" s="55" t="s">
        <v>10</v>
      </c>
      <c r="E34" s="56"/>
      <c r="F34" s="57"/>
      <c r="G34" s="57"/>
      <c r="H34" s="67"/>
    </row>
    <row r="35" spans="4:8" ht="5.25" customHeight="1" x14ac:dyDescent="0.2">
      <c r="D35" s="3"/>
      <c r="E35" s="9"/>
      <c r="F35" s="3"/>
      <c r="G35" s="3"/>
      <c r="H35" s="66"/>
    </row>
    <row r="36" spans="4:8" ht="5.25" customHeight="1" x14ac:dyDescent="0.2">
      <c r="D36" s="3"/>
      <c r="E36" s="9"/>
      <c r="F36" s="3"/>
      <c r="G36" s="3"/>
      <c r="H36" s="66"/>
    </row>
    <row r="37" spans="4:8" ht="42" x14ac:dyDescent="0.2">
      <c r="D37" s="29">
        <v>21</v>
      </c>
      <c r="E37" s="30" t="s">
        <v>72</v>
      </c>
      <c r="F37" s="31"/>
      <c r="G37" s="32" t="s">
        <v>9</v>
      </c>
      <c r="H37" s="60"/>
    </row>
    <row r="38" spans="4:8" ht="28" x14ac:dyDescent="0.2">
      <c r="D38" s="29">
        <v>22</v>
      </c>
      <c r="E38" s="30" t="s">
        <v>60</v>
      </c>
      <c r="F38" s="31"/>
      <c r="G38" s="32" t="s">
        <v>9</v>
      </c>
      <c r="H38" s="60"/>
    </row>
    <row r="39" spans="4:8" ht="14" x14ac:dyDescent="0.2">
      <c r="D39" s="29">
        <v>23</v>
      </c>
      <c r="E39" s="30" t="s">
        <v>73</v>
      </c>
      <c r="F39" s="31"/>
      <c r="G39" s="32" t="s">
        <v>9</v>
      </c>
      <c r="H39" s="60"/>
    </row>
    <row r="40" spans="4:8" ht="14" x14ac:dyDescent="0.2">
      <c r="D40" s="29">
        <v>24</v>
      </c>
      <c r="E40" s="30" t="s">
        <v>91</v>
      </c>
      <c r="F40" s="31"/>
      <c r="G40" s="32" t="s">
        <v>9</v>
      </c>
      <c r="H40" s="60"/>
    </row>
    <row r="41" spans="4:8" ht="14" x14ac:dyDescent="0.2">
      <c r="D41" s="29">
        <f t="shared" ref="D41:D44" si="1">+D40+1</f>
        <v>25</v>
      </c>
      <c r="E41" s="30" t="s">
        <v>92</v>
      </c>
      <c r="F41" s="31"/>
      <c r="G41" s="32" t="s">
        <v>9</v>
      </c>
      <c r="H41" s="60"/>
    </row>
    <row r="42" spans="4:8" ht="14" x14ac:dyDescent="0.2">
      <c r="D42" s="29">
        <v>26</v>
      </c>
      <c r="E42" s="30" t="s">
        <v>36</v>
      </c>
      <c r="F42" s="31"/>
      <c r="G42" s="32" t="s">
        <v>9</v>
      </c>
      <c r="H42" s="60"/>
    </row>
    <row r="43" spans="4:8" ht="14" x14ac:dyDescent="0.2">
      <c r="D43" s="29">
        <f t="shared" si="1"/>
        <v>27</v>
      </c>
      <c r="E43" s="30" t="s">
        <v>37</v>
      </c>
      <c r="F43" s="31"/>
      <c r="G43" s="32" t="s">
        <v>9</v>
      </c>
      <c r="H43" s="60"/>
    </row>
    <row r="44" spans="4:8" ht="14" x14ac:dyDescent="0.2">
      <c r="D44" s="29">
        <f t="shared" si="1"/>
        <v>28</v>
      </c>
      <c r="E44" s="30" t="s">
        <v>61</v>
      </c>
      <c r="F44" s="31"/>
      <c r="G44" s="32" t="s">
        <v>9</v>
      </c>
      <c r="H44" s="60"/>
    </row>
    <row r="45" spans="4:8" x14ac:dyDescent="0.2">
      <c r="D45" s="3"/>
      <c r="E45" s="9"/>
      <c r="F45" s="3"/>
      <c r="G45" s="3"/>
      <c r="H45" s="66"/>
    </row>
    <row r="46" spans="4:8" x14ac:dyDescent="0.2">
      <c r="D46" s="55" t="s">
        <v>11</v>
      </c>
      <c r="E46" s="56"/>
      <c r="F46" s="57"/>
      <c r="G46" s="57"/>
      <c r="H46" s="67"/>
    </row>
    <row r="47" spans="4:8" ht="5.25" customHeight="1" x14ac:dyDescent="0.2">
      <c r="D47" s="3"/>
      <c r="E47" s="9"/>
      <c r="F47" s="3"/>
      <c r="G47" s="3"/>
      <c r="H47" s="66"/>
    </row>
    <row r="48" spans="4:8" ht="14" x14ac:dyDescent="0.2">
      <c r="D48" s="29">
        <v>29</v>
      </c>
      <c r="E48" s="30" t="s">
        <v>186</v>
      </c>
      <c r="F48" s="31"/>
      <c r="G48" s="32" t="s">
        <v>9</v>
      </c>
      <c r="H48" s="60"/>
    </row>
    <row r="49" spans="4:8" ht="14" x14ac:dyDescent="0.2">
      <c r="D49" s="29">
        <v>30</v>
      </c>
      <c r="E49" s="30" t="s">
        <v>38</v>
      </c>
      <c r="F49" s="31"/>
      <c r="G49" s="32" t="s">
        <v>9</v>
      </c>
      <c r="H49" s="60"/>
    </row>
    <row r="50" spans="4:8" ht="42" x14ac:dyDescent="0.2">
      <c r="D50" s="29">
        <f>+D49+1</f>
        <v>31</v>
      </c>
      <c r="E50" s="30" t="s">
        <v>93</v>
      </c>
      <c r="F50" s="31"/>
      <c r="G50" s="32" t="s">
        <v>9</v>
      </c>
      <c r="H50" s="60"/>
    </row>
    <row r="51" spans="4:8" x14ac:dyDescent="0.2">
      <c r="D51" s="5"/>
      <c r="E51" s="9"/>
      <c r="F51" s="3"/>
      <c r="G51" s="3"/>
      <c r="H51" s="66"/>
    </row>
    <row r="52" spans="4:8" x14ac:dyDescent="0.2">
      <c r="D52" s="55" t="s">
        <v>12</v>
      </c>
      <c r="E52" s="56"/>
      <c r="F52" s="57"/>
      <c r="G52" s="57"/>
      <c r="H52" s="67"/>
    </row>
    <row r="53" spans="4:8" ht="5.25" customHeight="1" x14ac:dyDescent="0.2">
      <c r="D53" s="3"/>
      <c r="E53" s="9"/>
      <c r="F53" s="3"/>
      <c r="G53" s="3"/>
      <c r="H53" s="66"/>
    </row>
    <row r="54" spans="4:8" ht="28" x14ac:dyDescent="0.2">
      <c r="D54" s="29">
        <v>32</v>
      </c>
      <c r="E54" s="30" t="s">
        <v>94</v>
      </c>
      <c r="F54" s="31"/>
      <c r="G54" s="32" t="s">
        <v>9</v>
      </c>
      <c r="H54" s="60"/>
    </row>
    <row r="55" spans="4:8" ht="28" x14ac:dyDescent="0.2">
      <c r="D55" s="29">
        <f>+D54+1</f>
        <v>33</v>
      </c>
      <c r="E55" s="30" t="s">
        <v>62</v>
      </c>
      <c r="F55" s="31"/>
      <c r="G55" s="32" t="s">
        <v>9</v>
      </c>
      <c r="H55" s="60"/>
    </row>
    <row r="56" spans="4:8" ht="28" x14ac:dyDescent="0.2">
      <c r="D56" s="29">
        <f>+D55+1</f>
        <v>34</v>
      </c>
      <c r="E56" s="30" t="s">
        <v>39</v>
      </c>
      <c r="F56" s="31"/>
      <c r="G56" s="32" t="s">
        <v>9</v>
      </c>
      <c r="H56" s="60"/>
    </row>
    <row r="57" spans="4:8" ht="14" x14ac:dyDescent="0.2">
      <c r="D57" s="29">
        <f>+D56+1</f>
        <v>35</v>
      </c>
      <c r="E57" s="30" t="s">
        <v>95</v>
      </c>
      <c r="F57" s="31"/>
      <c r="G57" s="32" t="s">
        <v>9</v>
      </c>
      <c r="H57" s="60"/>
    </row>
    <row r="58" spans="4:8" ht="14" x14ac:dyDescent="0.2">
      <c r="D58" s="29">
        <v>36</v>
      </c>
      <c r="E58" s="30" t="s">
        <v>40</v>
      </c>
      <c r="F58" s="31"/>
      <c r="G58" s="32" t="s">
        <v>9</v>
      </c>
      <c r="H58" s="60"/>
    </row>
    <row r="59" spans="4:8" x14ac:dyDescent="0.2">
      <c r="D59" s="10"/>
      <c r="E59" s="11"/>
      <c r="F59" s="12"/>
      <c r="G59" s="12"/>
      <c r="H59" s="68"/>
    </row>
    <row r="60" spans="4:8" x14ac:dyDescent="0.2">
      <c r="D60" s="55" t="s">
        <v>13</v>
      </c>
      <c r="E60" s="56"/>
      <c r="F60" s="57"/>
      <c r="G60" s="57"/>
      <c r="H60" s="67"/>
    </row>
    <row r="61" spans="4:8" ht="5.25" customHeight="1" x14ac:dyDescent="0.2">
      <c r="D61" s="3"/>
      <c r="E61" s="9"/>
      <c r="F61" s="3"/>
      <c r="G61" s="3"/>
      <c r="H61" s="66"/>
    </row>
    <row r="62" spans="4:8" ht="28" x14ac:dyDescent="0.2">
      <c r="D62" s="29">
        <f>D58+1</f>
        <v>37</v>
      </c>
      <c r="E62" s="30" t="s">
        <v>63</v>
      </c>
      <c r="F62" s="31"/>
      <c r="G62" s="32" t="s">
        <v>9</v>
      </c>
      <c r="H62" s="60"/>
    </row>
    <row r="63" spans="4:8" x14ac:dyDescent="0.2">
      <c r="D63" s="3"/>
      <c r="E63" s="3"/>
      <c r="F63" s="3"/>
      <c r="G63" s="3"/>
      <c r="H63" s="66"/>
    </row>
    <row r="64" spans="4:8" x14ac:dyDescent="0.2">
      <c r="D64" s="55" t="s">
        <v>41</v>
      </c>
      <c r="E64" s="56"/>
      <c r="F64" s="57"/>
      <c r="G64" s="57"/>
      <c r="H64" s="67"/>
    </row>
    <row r="65" spans="4:8" ht="5" customHeight="1" x14ac:dyDescent="0.2">
      <c r="D65" s="3"/>
      <c r="E65" s="9"/>
      <c r="F65" s="3"/>
      <c r="G65" s="3"/>
      <c r="H65" s="66"/>
    </row>
    <row r="66" spans="4:8" ht="42" x14ac:dyDescent="0.2">
      <c r="D66" s="29">
        <v>38</v>
      </c>
      <c r="E66" s="30" t="s">
        <v>87</v>
      </c>
      <c r="F66" s="31"/>
      <c r="G66" s="32" t="s">
        <v>9</v>
      </c>
      <c r="H66" s="60"/>
    </row>
    <row r="67" spans="4:8" ht="14" x14ac:dyDescent="0.2">
      <c r="D67" s="29">
        <v>39</v>
      </c>
      <c r="E67" s="30" t="s">
        <v>88</v>
      </c>
      <c r="F67" s="31"/>
      <c r="G67" s="32" t="s">
        <v>9</v>
      </c>
      <c r="H67" s="60"/>
    </row>
    <row r="68" spans="4:8" ht="14" x14ac:dyDescent="0.2">
      <c r="D68" s="29">
        <v>40</v>
      </c>
      <c r="E68" s="30" t="s">
        <v>89</v>
      </c>
      <c r="F68" s="31"/>
      <c r="G68" s="32" t="s">
        <v>9</v>
      </c>
      <c r="H68" s="60"/>
    </row>
    <row r="69" spans="4:8" ht="28" x14ac:dyDescent="0.2">
      <c r="D69" s="29">
        <v>41</v>
      </c>
      <c r="E69" s="30" t="s">
        <v>90</v>
      </c>
      <c r="F69" s="31"/>
      <c r="G69" s="32" t="s">
        <v>9</v>
      </c>
      <c r="H69" s="60"/>
    </row>
    <row r="70" spans="4:8" ht="28" x14ac:dyDescent="0.2">
      <c r="D70" s="29">
        <v>42</v>
      </c>
      <c r="E70" s="30" t="s">
        <v>187</v>
      </c>
      <c r="F70" s="31"/>
      <c r="G70" s="32" t="s">
        <v>9</v>
      </c>
      <c r="H70" s="60"/>
    </row>
    <row r="71" spans="4:8" ht="14" x14ac:dyDescent="0.2">
      <c r="D71" s="29">
        <v>43</v>
      </c>
      <c r="E71" s="69" t="s">
        <v>42</v>
      </c>
      <c r="F71" s="31"/>
      <c r="G71" s="32" t="s">
        <v>9</v>
      </c>
      <c r="H71" s="60"/>
    </row>
    <row r="72" spans="4:8" ht="14" x14ac:dyDescent="0.2">
      <c r="D72" s="29">
        <v>44</v>
      </c>
      <c r="E72" s="30" t="s">
        <v>64</v>
      </c>
      <c r="F72" s="31"/>
      <c r="G72" s="32" t="s">
        <v>9</v>
      </c>
      <c r="H72" s="60"/>
    </row>
    <row r="73" spans="4:8" ht="14" x14ac:dyDescent="0.2">
      <c r="D73" s="29">
        <f>+D72+1</f>
        <v>45</v>
      </c>
      <c r="E73" s="30" t="s">
        <v>43</v>
      </c>
      <c r="F73" s="31"/>
      <c r="G73" s="32" t="s">
        <v>9</v>
      </c>
      <c r="H73" s="60"/>
    </row>
    <row r="75" spans="4:8" x14ac:dyDescent="0.2">
      <c r="D75" s="55" t="s">
        <v>14</v>
      </c>
      <c r="E75" s="56"/>
      <c r="F75" s="57"/>
      <c r="G75" s="57"/>
      <c r="H75" s="67"/>
    </row>
    <row r="76" spans="4:8" ht="5.25" customHeight="1" x14ac:dyDescent="0.2">
      <c r="D76" s="3"/>
      <c r="E76" s="9"/>
      <c r="F76" s="3"/>
      <c r="G76" s="3"/>
      <c r="H76" s="66"/>
    </row>
    <row r="77" spans="4:8" ht="42" x14ac:dyDescent="0.2">
      <c r="D77" s="29">
        <v>46</v>
      </c>
      <c r="E77" s="69" t="s">
        <v>97</v>
      </c>
      <c r="F77" s="31"/>
      <c r="G77" s="32" t="s">
        <v>96</v>
      </c>
      <c r="H77" s="60"/>
    </row>
    <row r="78" spans="4:8" ht="28" x14ac:dyDescent="0.2">
      <c r="D78" s="29">
        <v>47</v>
      </c>
      <c r="E78" s="30" t="s">
        <v>98</v>
      </c>
      <c r="F78" s="31"/>
      <c r="G78" s="32" t="s">
        <v>9</v>
      </c>
      <c r="H78" s="60"/>
    </row>
    <row r="79" spans="4:8" ht="28" x14ac:dyDescent="0.2">
      <c r="D79" s="29">
        <v>48</v>
      </c>
      <c r="E79" s="30" t="s">
        <v>55</v>
      </c>
      <c r="F79" s="31"/>
      <c r="G79" s="32" t="s">
        <v>9</v>
      </c>
      <c r="H79" s="60"/>
    </row>
    <row r="81" spans="4:8" x14ac:dyDescent="0.2">
      <c r="D81" s="55" t="s">
        <v>15</v>
      </c>
      <c r="E81" s="56"/>
      <c r="F81" s="57"/>
      <c r="G81" s="57"/>
      <c r="H81" s="67"/>
    </row>
    <row r="82" spans="4:8" ht="5.25" customHeight="1" x14ac:dyDescent="0.2">
      <c r="D82" s="3"/>
      <c r="E82" s="9"/>
      <c r="F82" s="3"/>
      <c r="G82" s="3"/>
      <c r="H82" s="66"/>
    </row>
    <row r="83" spans="4:8" ht="42" x14ac:dyDescent="0.2">
      <c r="D83" s="29">
        <v>49</v>
      </c>
      <c r="E83" s="30" t="s">
        <v>44</v>
      </c>
      <c r="F83" s="31"/>
      <c r="G83" s="32" t="s">
        <v>9</v>
      </c>
      <c r="H83" s="60"/>
    </row>
    <row r="84" spans="4:8" ht="14" x14ac:dyDescent="0.2">
      <c r="D84" s="29">
        <v>50</v>
      </c>
      <c r="E84" s="30" t="s">
        <v>99</v>
      </c>
      <c r="F84" s="31"/>
      <c r="G84" s="32" t="s">
        <v>9</v>
      </c>
      <c r="H84" s="60"/>
    </row>
    <row r="85" spans="4:8" ht="28" x14ac:dyDescent="0.2">
      <c r="D85" s="29">
        <v>51</v>
      </c>
      <c r="E85" s="30" t="s">
        <v>54</v>
      </c>
      <c r="F85" s="31"/>
      <c r="G85" s="32" t="s">
        <v>9</v>
      </c>
      <c r="H85" s="60"/>
    </row>
    <row r="86" spans="4:8" ht="28" x14ac:dyDescent="0.2">
      <c r="D86" s="29">
        <v>52</v>
      </c>
      <c r="E86" s="30" t="s">
        <v>100</v>
      </c>
      <c r="F86" s="31"/>
      <c r="G86" s="32" t="s">
        <v>9</v>
      </c>
      <c r="H86" s="60"/>
    </row>
    <row r="87" spans="4:8" ht="42" x14ac:dyDescent="0.2">
      <c r="D87" s="29">
        <v>53</v>
      </c>
      <c r="E87" s="30" t="s">
        <v>101</v>
      </c>
      <c r="F87" s="31"/>
      <c r="G87" s="32" t="s">
        <v>9</v>
      </c>
      <c r="H87" s="60"/>
    </row>
    <row r="88" spans="4:8" ht="28" x14ac:dyDescent="0.2">
      <c r="D88" s="29">
        <v>54</v>
      </c>
      <c r="E88" s="30" t="s">
        <v>65</v>
      </c>
      <c r="F88" s="31"/>
      <c r="G88" s="32" t="s">
        <v>9</v>
      </c>
      <c r="H88" s="60"/>
    </row>
    <row r="89" spans="4:8" ht="28" x14ac:dyDescent="0.2">
      <c r="D89" s="29">
        <v>55</v>
      </c>
      <c r="E89" s="30" t="s">
        <v>66</v>
      </c>
      <c r="F89" s="31"/>
      <c r="G89" s="32" t="s">
        <v>9</v>
      </c>
      <c r="H89" s="60"/>
    </row>
    <row r="90" spans="4:8" ht="28" x14ac:dyDescent="0.2">
      <c r="D90" s="29">
        <v>56</v>
      </c>
      <c r="E90" s="30" t="s">
        <v>53</v>
      </c>
      <c r="F90" s="31"/>
      <c r="G90" s="32" t="s">
        <v>9</v>
      </c>
      <c r="H90" s="60"/>
    </row>
    <row r="92" spans="4:8" x14ac:dyDescent="0.2">
      <c r="D92" s="55" t="s">
        <v>16</v>
      </c>
      <c r="E92" s="56"/>
      <c r="F92" s="57"/>
      <c r="G92" s="57"/>
      <c r="H92" s="67"/>
    </row>
    <row r="93" spans="4:8" ht="5.25" customHeight="1" x14ac:dyDescent="0.2">
      <c r="D93" s="3"/>
      <c r="E93" s="9"/>
      <c r="F93" s="3"/>
      <c r="G93" s="3"/>
      <c r="H93" s="66"/>
    </row>
    <row r="94" spans="4:8" ht="28" x14ac:dyDescent="0.2">
      <c r="D94" s="29">
        <f>D90+1</f>
        <v>57</v>
      </c>
      <c r="E94" s="30" t="s">
        <v>102</v>
      </c>
      <c r="F94" s="31"/>
      <c r="G94" s="32" t="s">
        <v>9</v>
      </c>
      <c r="H94" s="60"/>
    </row>
    <row r="95" spans="4:8" ht="28" x14ac:dyDescent="0.2">
      <c r="D95" s="29">
        <f>+D94+1</f>
        <v>58</v>
      </c>
      <c r="E95" s="30" t="s">
        <v>67</v>
      </c>
      <c r="F95" s="31"/>
      <c r="G95" s="32" t="s">
        <v>9</v>
      </c>
      <c r="H95" s="60"/>
    </row>
    <row r="96" spans="4:8" ht="14" x14ac:dyDescent="0.2">
      <c r="D96" s="29">
        <v>60</v>
      </c>
      <c r="E96" s="30" t="s">
        <v>103</v>
      </c>
      <c r="F96" s="31"/>
      <c r="G96" s="32" t="s">
        <v>9</v>
      </c>
      <c r="H96" s="60"/>
    </row>
    <row r="97" spans="4:8" ht="14" x14ac:dyDescent="0.2">
      <c r="D97" s="29">
        <v>61</v>
      </c>
      <c r="E97" s="30" t="s">
        <v>104</v>
      </c>
      <c r="F97" s="31"/>
      <c r="G97" s="32" t="s">
        <v>9</v>
      </c>
      <c r="H97" s="60"/>
    </row>
    <row r="98" spans="4:8" ht="14" x14ac:dyDescent="0.2">
      <c r="D98" s="29">
        <v>62</v>
      </c>
      <c r="E98" s="30" t="s">
        <v>105</v>
      </c>
      <c r="F98" s="31"/>
      <c r="G98" s="32" t="s">
        <v>9</v>
      </c>
      <c r="H98" s="60"/>
    </row>
    <row r="99" spans="4:8" ht="28" x14ac:dyDescent="0.2">
      <c r="D99" s="29">
        <v>63</v>
      </c>
      <c r="E99" s="30" t="s">
        <v>106</v>
      </c>
      <c r="F99" s="31"/>
      <c r="G99" s="32" t="s">
        <v>9</v>
      </c>
      <c r="H99" s="60"/>
    </row>
    <row r="100" spans="4:8" ht="28" x14ac:dyDescent="0.2">
      <c r="D100" s="29">
        <v>64</v>
      </c>
      <c r="E100" s="30" t="s">
        <v>45</v>
      </c>
      <c r="F100" s="31"/>
      <c r="G100" s="32" t="s">
        <v>9</v>
      </c>
      <c r="H100" s="60"/>
    </row>
    <row r="102" spans="4:8" x14ac:dyDescent="0.2">
      <c r="D102" s="55" t="s">
        <v>17</v>
      </c>
      <c r="E102" s="56"/>
      <c r="F102" s="57"/>
      <c r="G102" s="57"/>
      <c r="H102" s="67"/>
    </row>
    <row r="103" spans="4:8" ht="5.25" customHeight="1" x14ac:dyDescent="0.2">
      <c r="D103" s="3"/>
      <c r="E103" s="9"/>
      <c r="F103" s="3"/>
      <c r="G103" s="3"/>
      <c r="H103" s="66"/>
    </row>
    <row r="104" spans="4:8" ht="28" x14ac:dyDescent="0.2">
      <c r="D104" s="29">
        <v>65</v>
      </c>
      <c r="E104" s="30" t="s">
        <v>68</v>
      </c>
      <c r="F104" s="31"/>
      <c r="G104" s="32" t="s">
        <v>9</v>
      </c>
      <c r="H104" s="60"/>
    </row>
    <row r="105" spans="4:8" ht="42" x14ac:dyDescent="0.2">
      <c r="D105" s="29">
        <v>66</v>
      </c>
      <c r="E105" s="30" t="s">
        <v>107</v>
      </c>
      <c r="F105" s="31"/>
      <c r="G105" s="32" t="s">
        <v>9</v>
      </c>
      <c r="H105" s="60"/>
    </row>
    <row r="106" spans="4:8" ht="28" x14ac:dyDescent="0.2">
      <c r="D106" s="29">
        <v>67</v>
      </c>
      <c r="E106" s="69" t="s">
        <v>108</v>
      </c>
      <c r="F106" s="31"/>
      <c r="G106" s="32" t="s">
        <v>9</v>
      </c>
      <c r="H106" s="60"/>
    </row>
    <row r="107" spans="4:8" ht="14" x14ac:dyDescent="0.2">
      <c r="D107" s="29">
        <v>68</v>
      </c>
      <c r="E107" s="30" t="s">
        <v>46</v>
      </c>
      <c r="F107" s="31"/>
      <c r="G107" s="32" t="s">
        <v>9</v>
      </c>
      <c r="H107" s="60"/>
    </row>
  </sheetData>
  <pageMargins left="0.25" right="0.25" top="0.75" bottom="0.75" header="0.3" footer="0.3"/>
  <pageSetup scale="58" fitToHeight="0" orientation="landscape" horizontalDpi="1200" verticalDpi="1200" r:id="rId1"/>
  <headerFooter>
    <oddFooter>&amp;L_x000D_&amp;1#&amp;"Aptos"&amp;10&amp;K000000 RESTRITA</oddFooter>
  </headerFooter>
  <rowBreaks count="2" manualBreakCount="2">
    <brk id="51" min="2" max="8" man="1"/>
    <brk id="101" min="2"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79998168889431442"/>
    <pageSetUpPr fitToPage="1"/>
  </sheetPr>
  <dimension ref="D4:H57"/>
  <sheetViews>
    <sheetView showGridLines="0" tabSelected="1" zoomScale="120" zoomScaleNormal="120" zoomScaleSheetLayoutView="75" workbookViewId="0">
      <selection activeCell="D4" sqref="D4"/>
    </sheetView>
  </sheetViews>
  <sheetFormatPr baseColWidth="10" defaultColWidth="9" defaultRowHeight="13" outlineLevelCol="1" x14ac:dyDescent="0.2"/>
  <cols>
    <col min="1" max="3" width="1.796875" customWidth="1"/>
    <col min="5" max="5" width="150.796875" customWidth="1"/>
    <col min="6" max="6" width="25.796875" hidden="1" customWidth="1" outlineLevel="1"/>
    <col min="7" max="7" width="20.796875" customWidth="1" collapsed="1"/>
    <col min="8" max="8" width="80.796875" customWidth="1"/>
    <col min="9" max="9" width="1.796875" customWidth="1"/>
  </cols>
  <sheetData>
    <row r="4" spans="4:8" ht="16" customHeight="1" x14ac:dyDescent="0.2">
      <c r="D4" s="15" t="s">
        <v>0</v>
      </c>
      <c r="H4" s="18" t="s">
        <v>1</v>
      </c>
    </row>
    <row r="5" spans="4:8" ht="16" customHeight="1" x14ac:dyDescent="0.2">
      <c r="D5" s="16" t="s">
        <v>18</v>
      </c>
      <c r="E5" s="16"/>
      <c r="F5" s="16"/>
      <c r="G5" s="16"/>
      <c r="H5" s="19" t="str">
        <f ca="1">TEXT( TODAY(), " mmmm d, yyyy" )</f>
        <v xml:space="preserve"> February 10, yyyy</v>
      </c>
    </row>
    <row r="6" spans="4:8" ht="16.5" customHeight="1" thickBot="1" x14ac:dyDescent="0.25">
      <c r="D6" s="17"/>
    </row>
    <row r="7" spans="4:8" ht="17.25" customHeight="1" thickTop="1" thickBot="1" x14ac:dyDescent="0.25">
      <c r="D7" s="24"/>
      <c r="E7" s="23" t="s">
        <v>47</v>
      </c>
    </row>
    <row r="8" spans="4:8" ht="17.25" customHeight="1" thickTop="1" thickBot="1" x14ac:dyDescent="0.25">
      <c r="D8" s="17"/>
    </row>
    <row r="9" spans="4:8" s="3" customFormat="1" ht="16" customHeight="1" thickTop="1" thickBot="1" x14ac:dyDescent="0.25">
      <c r="D9" s="51" t="s">
        <v>3</v>
      </c>
      <c r="E9" s="51" t="s">
        <v>4</v>
      </c>
      <c r="F9" s="2" t="s">
        <v>5</v>
      </c>
      <c r="G9" s="52" t="s">
        <v>6</v>
      </c>
      <c r="H9" s="52" t="s">
        <v>7</v>
      </c>
    </row>
    <row r="10" spans="4:8" ht="14.5" customHeight="1" thickTop="1" x14ac:dyDescent="0.2"/>
    <row r="11" spans="4:8" x14ac:dyDescent="0.2">
      <c r="D11" s="53" t="s">
        <v>20</v>
      </c>
      <c r="E11" s="54"/>
      <c r="F11" s="54"/>
      <c r="G11" s="54"/>
      <c r="H11" s="54"/>
    </row>
    <row r="12" spans="4:8" ht="5.25" customHeight="1" x14ac:dyDescent="0.2"/>
    <row r="13" spans="4:8" ht="14" x14ac:dyDescent="0.2">
      <c r="D13" s="49">
        <v>1</v>
      </c>
      <c r="E13" s="50" t="s">
        <v>74</v>
      </c>
      <c r="F13" s="31"/>
      <c r="G13" s="32" t="s">
        <v>9</v>
      </c>
      <c r="H13" s="33"/>
    </row>
    <row r="14" spans="4:8" ht="14" x14ac:dyDescent="0.2">
      <c r="D14" s="29">
        <v>2</v>
      </c>
      <c r="E14" s="30" t="s">
        <v>48</v>
      </c>
      <c r="F14" s="31"/>
      <c r="G14" s="70" t="s">
        <v>109</v>
      </c>
      <c r="H14" s="33"/>
    </row>
    <row r="15" spans="4:8" ht="14" x14ac:dyDescent="0.2">
      <c r="D15" s="29">
        <f>+D14+1</f>
        <v>3</v>
      </c>
      <c r="E15" s="30" t="s">
        <v>75</v>
      </c>
      <c r="F15" s="31"/>
      <c r="G15" s="70" t="s">
        <v>109</v>
      </c>
      <c r="H15" s="33"/>
    </row>
    <row r="16" spans="4:8" ht="14" x14ac:dyDescent="0.2">
      <c r="D16" s="29">
        <f>+D15+1</f>
        <v>4</v>
      </c>
      <c r="E16" s="30" t="s">
        <v>76</v>
      </c>
      <c r="F16" s="31"/>
      <c r="G16" s="70" t="s">
        <v>109</v>
      </c>
      <c r="H16" s="39"/>
    </row>
    <row r="17" spans="4:8" ht="14" x14ac:dyDescent="0.2">
      <c r="D17" s="29">
        <f>+D16+1</f>
        <v>5</v>
      </c>
      <c r="E17" s="30" t="s">
        <v>77</v>
      </c>
      <c r="F17" s="31"/>
      <c r="G17" s="70" t="s">
        <v>109</v>
      </c>
      <c r="H17" s="33"/>
    </row>
    <row r="18" spans="4:8" x14ac:dyDescent="0.2">
      <c r="D18" s="10"/>
      <c r="E18" s="11"/>
      <c r="F18" s="12"/>
      <c r="G18" s="6"/>
      <c r="H18" s="13"/>
    </row>
    <row r="19" spans="4:8" x14ac:dyDescent="0.2">
      <c r="D19" s="55" t="s">
        <v>21</v>
      </c>
      <c r="E19" s="56"/>
      <c r="F19" s="57"/>
      <c r="G19" s="57"/>
      <c r="H19" s="58"/>
    </row>
    <row r="20" spans="4:8" ht="5.25" customHeight="1" x14ac:dyDescent="0.2">
      <c r="D20" s="3"/>
      <c r="E20" s="9"/>
      <c r="F20" s="3"/>
      <c r="G20" s="3"/>
      <c r="H20" s="7"/>
    </row>
    <row r="21" spans="4:8" ht="14" x14ac:dyDescent="0.2">
      <c r="D21" s="29">
        <f>D17+1</f>
        <v>6</v>
      </c>
      <c r="E21" s="30" t="s">
        <v>146</v>
      </c>
      <c r="F21" s="31"/>
      <c r="G21" s="32" t="s">
        <v>9</v>
      </c>
      <c r="H21" s="39"/>
    </row>
    <row r="22" spans="4:8" ht="14" x14ac:dyDescent="0.2">
      <c r="D22" s="29">
        <f>+D21+1</f>
        <v>7</v>
      </c>
      <c r="E22" s="30" t="s">
        <v>145</v>
      </c>
      <c r="F22" s="31"/>
      <c r="G22" s="32" t="s">
        <v>9</v>
      </c>
      <c r="H22" s="39"/>
    </row>
    <row r="23" spans="4:8" ht="14" x14ac:dyDescent="0.2">
      <c r="D23" s="29">
        <f>+D22+1</f>
        <v>8</v>
      </c>
      <c r="E23" s="30" t="s">
        <v>22</v>
      </c>
      <c r="F23" s="31"/>
      <c r="G23" s="70" t="s">
        <v>109</v>
      </c>
      <c r="H23" s="39"/>
    </row>
    <row r="24" spans="4:8" ht="14" x14ac:dyDescent="0.2">
      <c r="D24" s="25">
        <f>+D23+1</f>
        <v>9</v>
      </c>
      <c r="E24" s="26" t="s">
        <v>144</v>
      </c>
      <c r="F24" s="27"/>
      <c r="G24" s="71" t="s">
        <v>110</v>
      </c>
      <c r="H24" s="72" t="s">
        <v>111</v>
      </c>
    </row>
    <row r="25" spans="4:8" ht="28" x14ac:dyDescent="0.2">
      <c r="D25" s="47">
        <f>+D24+1</f>
        <v>10</v>
      </c>
      <c r="E25" s="48" t="s">
        <v>143</v>
      </c>
      <c r="F25" s="27"/>
      <c r="G25" s="32" t="s">
        <v>9</v>
      </c>
      <c r="H25" s="72"/>
    </row>
    <row r="26" spans="4:8" ht="14" x14ac:dyDescent="0.2">
      <c r="D26" s="49">
        <f>D25+1</f>
        <v>11</v>
      </c>
      <c r="E26" s="50" t="s">
        <v>142</v>
      </c>
      <c r="F26" s="31"/>
      <c r="G26" s="43" t="s">
        <v>9</v>
      </c>
      <c r="H26" s="73"/>
    </row>
    <row r="27" spans="4:8" ht="14" x14ac:dyDescent="0.2">
      <c r="D27" s="49">
        <v>12</v>
      </c>
      <c r="E27" s="50" t="s">
        <v>141</v>
      </c>
      <c r="F27" s="31"/>
      <c r="G27" s="70" t="s">
        <v>109</v>
      </c>
      <c r="H27" s="73"/>
    </row>
    <row r="28" spans="4:8" ht="14" x14ac:dyDescent="0.2">
      <c r="D28" s="49">
        <f>+D27+1</f>
        <v>13</v>
      </c>
      <c r="E28" s="30" t="s">
        <v>140</v>
      </c>
      <c r="F28" s="31"/>
      <c r="G28" s="70" t="s">
        <v>109</v>
      </c>
      <c r="H28" s="73"/>
    </row>
    <row r="29" spans="4:8" ht="28" x14ac:dyDescent="0.2">
      <c r="D29" s="47">
        <f>+D28+1</f>
        <v>14</v>
      </c>
      <c r="E29" s="48" t="s">
        <v>139</v>
      </c>
      <c r="F29" s="27"/>
      <c r="G29" s="35" t="s">
        <v>9</v>
      </c>
      <c r="H29" s="72"/>
    </row>
    <row r="30" spans="4:8" ht="14" x14ac:dyDescent="0.2">
      <c r="D30" s="47">
        <f>D29+1</f>
        <v>15</v>
      </c>
      <c r="E30" s="48" t="s">
        <v>138</v>
      </c>
      <c r="F30" s="27"/>
      <c r="G30" s="70" t="s">
        <v>112</v>
      </c>
      <c r="H30" s="72" t="s">
        <v>113</v>
      </c>
    </row>
    <row r="31" spans="4:8" ht="14" x14ac:dyDescent="0.2">
      <c r="D31" s="29">
        <f t="shared" ref="D31:D35" si="0">+D30+1</f>
        <v>16</v>
      </c>
      <c r="E31" s="30" t="s">
        <v>137</v>
      </c>
      <c r="F31" s="31"/>
      <c r="G31" s="70" t="s">
        <v>109</v>
      </c>
      <c r="H31" s="73"/>
    </row>
    <row r="32" spans="4:8" ht="14" x14ac:dyDescent="0.2">
      <c r="D32" s="40">
        <f t="shared" si="0"/>
        <v>17</v>
      </c>
      <c r="E32" s="41" t="s">
        <v>136</v>
      </c>
      <c r="F32" s="42"/>
      <c r="G32" s="43" t="s">
        <v>9</v>
      </c>
      <c r="H32" s="74"/>
    </row>
    <row r="33" spans="4:8" ht="14" x14ac:dyDescent="0.2">
      <c r="D33" s="29">
        <f t="shared" si="0"/>
        <v>18</v>
      </c>
      <c r="E33" s="30" t="s">
        <v>135</v>
      </c>
      <c r="F33" s="31"/>
      <c r="G33" s="32" t="s">
        <v>114</v>
      </c>
      <c r="H33" s="73"/>
    </row>
    <row r="34" spans="4:8" ht="14" x14ac:dyDescent="0.2">
      <c r="D34" s="29">
        <f t="shared" si="0"/>
        <v>19</v>
      </c>
      <c r="E34" s="30" t="s">
        <v>134</v>
      </c>
      <c r="F34" s="31"/>
      <c r="G34" s="32" t="s">
        <v>9</v>
      </c>
      <c r="H34" s="73"/>
    </row>
    <row r="35" spans="4:8" ht="14" x14ac:dyDescent="0.2">
      <c r="D35" s="29">
        <f t="shared" si="0"/>
        <v>20</v>
      </c>
      <c r="E35" s="30" t="s">
        <v>133</v>
      </c>
      <c r="F35" s="31"/>
      <c r="G35" s="70" t="s">
        <v>109</v>
      </c>
      <c r="H35" s="73"/>
    </row>
    <row r="36" spans="4:8" ht="14" x14ac:dyDescent="0.2">
      <c r="D36" s="29">
        <v>21</v>
      </c>
      <c r="E36" s="30" t="s">
        <v>132</v>
      </c>
      <c r="F36" s="31"/>
      <c r="G36" s="70" t="s">
        <v>112</v>
      </c>
      <c r="H36" s="72" t="s">
        <v>113</v>
      </c>
    </row>
    <row r="37" spans="4:8" ht="14" x14ac:dyDescent="0.2">
      <c r="D37" s="29">
        <v>22</v>
      </c>
      <c r="E37" s="30" t="s">
        <v>131</v>
      </c>
      <c r="F37" s="31"/>
      <c r="G37" s="70" t="s">
        <v>112</v>
      </c>
      <c r="H37" s="73" t="s">
        <v>115</v>
      </c>
    </row>
    <row r="38" spans="4:8" ht="14" x14ac:dyDescent="0.2">
      <c r="D38" s="29">
        <v>23</v>
      </c>
      <c r="E38" s="30" t="s">
        <v>130</v>
      </c>
      <c r="F38" s="31"/>
      <c r="G38" s="70" t="s">
        <v>109</v>
      </c>
      <c r="H38" s="39"/>
    </row>
    <row r="39" spans="4:8" x14ac:dyDescent="0.2">
      <c r="D39" s="10"/>
      <c r="E39" s="11"/>
      <c r="F39" s="12"/>
      <c r="G39" s="12"/>
      <c r="H39" s="13"/>
    </row>
    <row r="40" spans="4:8" x14ac:dyDescent="0.2">
      <c r="D40" s="55" t="s">
        <v>23</v>
      </c>
      <c r="E40" s="56"/>
      <c r="F40" s="57"/>
      <c r="G40" s="57"/>
      <c r="H40" s="56"/>
    </row>
    <row r="41" spans="4:8" ht="5.25" customHeight="1" x14ac:dyDescent="0.2">
      <c r="D41" s="3"/>
      <c r="E41" s="9"/>
      <c r="F41" s="3"/>
      <c r="G41" s="3"/>
      <c r="H41" s="9"/>
    </row>
    <row r="42" spans="4:8" ht="14" x14ac:dyDescent="0.2">
      <c r="D42" s="29">
        <f>D38+1</f>
        <v>24</v>
      </c>
      <c r="E42" s="30" t="s">
        <v>129</v>
      </c>
      <c r="F42" s="31"/>
      <c r="G42" s="75" t="s">
        <v>110</v>
      </c>
      <c r="H42" s="73" t="s">
        <v>116</v>
      </c>
    </row>
    <row r="43" spans="4:8" ht="14" x14ac:dyDescent="0.2">
      <c r="D43" s="29">
        <f>+D42+1</f>
        <v>25</v>
      </c>
      <c r="E43" s="30" t="s">
        <v>128</v>
      </c>
      <c r="F43" s="31"/>
      <c r="G43" s="70" t="s">
        <v>109</v>
      </c>
      <c r="H43" s="39"/>
    </row>
    <row r="44" spans="4:8" ht="14" x14ac:dyDescent="0.2">
      <c r="D44" s="29">
        <f>+D43+1</f>
        <v>26</v>
      </c>
      <c r="E44" s="30" t="s">
        <v>127</v>
      </c>
      <c r="F44" s="31"/>
      <c r="G44" s="32" t="s">
        <v>9</v>
      </c>
      <c r="H44" s="39"/>
    </row>
    <row r="45" spans="4:8" ht="14" x14ac:dyDescent="0.2">
      <c r="D45" s="29">
        <f>+D44+1</f>
        <v>27</v>
      </c>
      <c r="E45" s="30" t="s">
        <v>126</v>
      </c>
      <c r="F45" s="31"/>
      <c r="G45" s="70" t="s">
        <v>112</v>
      </c>
      <c r="H45" s="39"/>
    </row>
    <row r="46" spans="4:8" ht="14" x14ac:dyDescent="0.2">
      <c r="D46" s="29">
        <f>+D45+1</f>
        <v>28</v>
      </c>
      <c r="E46" s="30" t="s">
        <v>24</v>
      </c>
      <c r="F46" s="31"/>
      <c r="G46" s="70" t="s">
        <v>109</v>
      </c>
      <c r="H46" s="39"/>
    </row>
    <row r="47" spans="4:8" ht="14" x14ac:dyDescent="0.2">
      <c r="D47" s="29">
        <f>+D46+1</f>
        <v>29</v>
      </c>
      <c r="E47" s="30" t="s">
        <v>125</v>
      </c>
      <c r="F47" s="31"/>
      <c r="G47" s="70" t="s">
        <v>109</v>
      </c>
      <c r="H47" s="39"/>
    </row>
    <row r="48" spans="4:8" x14ac:dyDescent="0.2">
      <c r="D48" s="10"/>
      <c r="E48" s="11"/>
      <c r="F48" s="12"/>
      <c r="G48" s="12"/>
      <c r="H48" s="13"/>
    </row>
    <row r="49" spans="4:8" x14ac:dyDescent="0.2">
      <c r="D49" s="55" t="s">
        <v>25</v>
      </c>
      <c r="E49" s="56"/>
      <c r="F49" s="57"/>
      <c r="G49" s="57"/>
      <c r="H49" s="56"/>
    </row>
    <row r="50" spans="4:8" ht="5.25" customHeight="1" x14ac:dyDescent="0.2">
      <c r="D50" s="45"/>
      <c r="E50" s="41"/>
      <c r="F50" s="45"/>
      <c r="G50" s="45"/>
      <c r="H50" s="41"/>
    </row>
    <row r="51" spans="4:8" ht="14" x14ac:dyDescent="0.2">
      <c r="D51" s="40">
        <f>D47+1</f>
        <v>30</v>
      </c>
      <c r="E51" s="41" t="s">
        <v>124</v>
      </c>
      <c r="F51" s="42"/>
      <c r="G51" s="70" t="s">
        <v>109</v>
      </c>
      <c r="H51" s="44"/>
    </row>
    <row r="52" spans="4:8" ht="14" x14ac:dyDescent="0.2">
      <c r="D52" s="49">
        <f>+D51+1</f>
        <v>31</v>
      </c>
      <c r="E52" s="50" t="s">
        <v>123</v>
      </c>
      <c r="F52" s="31"/>
      <c r="G52" s="32" t="s">
        <v>9</v>
      </c>
      <c r="H52" s="33"/>
    </row>
    <row r="53" spans="4:8" x14ac:dyDescent="0.2">
      <c r="D53" s="5"/>
      <c r="E53" s="9"/>
      <c r="F53" s="6"/>
      <c r="G53" s="6"/>
      <c r="H53" s="7"/>
    </row>
    <row r="55" spans="4:8" x14ac:dyDescent="0.2">
      <c r="E55" s="21"/>
    </row>
    <row r="56" spans="4:8" x14ac:dyDescent="0.2">
      <c r="E56" s="21"/>
    </row>
    <row r="57" spans="4:8" x14ac:dyDescent="0.2">
      <c r="E57" s="22"/>
    </row>
  </sheetData>
  <pageMargins left="0.25" right="0.25" top="0.75" bottom="0.75" header="0.3" footer="0.3"/>
  <pageSetup scale="58" fitToHeight="0" orientation="landscape" horizontalDpi="1200" verticalDpi="1200" r:id="rId1"/>
  <headerFooter>
    <oddFooter>&amp;L_x000D_&amp;1#&amp;"Aptos"&amp;10&amp;K000000 RESTRITA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79998168889431442"/>
    <pageSetUpPr fitToPage="1"/>
  </sheetPr>
  <dimension ref="C4:H74"/>
  <sheetViews>
    <sheetView showGridLines="0" zoomScale="120" zoomScaleNormal="120" zoomScaleSheetLayoutView="75" workbookViewId="0">
      <selection activeCell="E26" sqref="E26"/>
    </sheetView>
  </sheetViews>
  <sheetFormatPr baseColWidth="10" defaultColWidth="9" defaultRowHeight="13" x14ac:dyDescent="0.2"/>
  <cols>
    <col min="1" max="3" width="1.796875" customWidth="1"/>
    <col min="5" max="5" width="150.796875" customWidth="1"/>
    <col min="6" max="6" width="25.796875" customWidth="1"/>
    <col min="7" max="7" width="20.796875" customWidth="1"/>
    <col min="8" max="8" width="80.796875" customWidth="1"/>
    <col min="9" max="9" width="1.796875" customWidth="1"/>
  </cols>
  <sheetData>
    <row r="4" spans="4:8" ht="16" customHeight="1" x14ac:dyDescent="0.2">
      <c r="D4" s="15" t="s">
        <v>0</v>
      </c>
      <c r="H4" s="18" t="s">
        <v>1</v>
      </c>
    </row>
    <row r="5" spans="4:8" ht="16" customHeight="1" x14ac:dyDescent="0.2">
      <c r="D5" s="16" t="s">
        <v>26</v>
      </c>
      <c r="E5" s="16"/>
      <c r="F5" s="16"/>
      <c r="G5" s="16"/>
      <c r="H5" s="19" t="str">
        <f ca="1">TEXT( TODAY(), " mmmm d, yyyy" )</f>
        <v xml:space="preserve"> February 10, yyyy</v>
      </c>
    </row>
    <row r="6" spans="4:8" ht="16.5" customHeight="1" thickBot="1" x14ac:dyDescent="0.25">
      <c r="D6" s="17"/>
    </row>
    <row r="7" spans="4:8" ht="17" customHeight="1" thickTop="1" thickBot="1" x14ac:dyDescent="0.25">
      <c r="D7" s="24"/>
      <c r="E7" s="23" t="s">
        <v>19</v>
      </c>
    </row>
    <row r="8" spans="4:8" ht="17" customHeight="1" thickTop="1" thickBot="1" x14ac:dyDescent="0.25">
      <c r="D8" s="17"/>
    </row>
    <row r="9" spans="4:8" s="3" customFormat="1" ht="16" customHeight="1" thickTop="1" thickBot="1" x14ac:dyDescent="0.25">
      <c r="D9" s="51" t="s">
        <v>3</v>
      </c>
      <c r="E9" s="51" t="s">
        <v>4</v>
      </c>
      <c r="F9" s="2" t="s">
        <v>5</v>
      </c>
      <c r="G9" s="52" t="s">
        <v>6</v>
      </c>
      <c r="H9" s="52" t="s">
        <v>7</v>
      </c>
    </row>
    <row r="10" spans="4:8" ht="14.5" customHeight="1" thickTop="1" x14ac:dyDescent="0.2"/>
    <row r="11" spans="4:8" x14ac:dyDescent="0.2">
      <c r="D11" s="53" t="s">
        <v>27</v>
      </c>
      <c r="E11" s="54"/>
      <c r="F11" s="54"/>
      <c r="G11" s="54"/>
      <c r="H11" s="54"/>
    </row>
    <row r="12" spans="4:8" ht="5.25" customHeight="1" x14ac:dyDescent="0.2">
      <c r="H12" s="13"/>
    </row>
    <row r="13" spans="4:8" ht="14" x14ac:dyDescent="0.2">
      <c r="D13" s="49">
        <v>1</v>
      </c>
      <c r="E13" s="50" t="s">
        <v>147</v>
      </c>
      <c r="F13" s="31"/>
      <c r="G13" s="70" t="s">
        <v>112</v>
      </c>
      <c r="H13" s="33"/>
    </row>
    <row r="14" spans="4:8" ht="14" x14ac:dyDescent="0.2">
      <c r="D14" s="49">
        <f t="shared" ref="D14:D34" si="0">+D13+1</f>
        <v>2</v>
      </c>
      <c r="E14" s="50" t="s">
        <v>148</v>
      </c>
      <c r="F14" s="31"/>
      <c r="G14" s="32" t="s">
        <v>9</v>
      </c>
      <c r="H14" s="33"/>
    </row>
    <row r="15" spans="4:8" ht="14" x14ac:dyDescent="0.2">
      <c r="D15" s="49">
        <f t="shared" si="0"/>
        <v>3</v>
      </c>
      <c r="E15" s="50" t="s">
        <v>149</v>
      </c>
      <c r="F15" s="31"/>
      <c r="G15" s="70" t="s">
        <v>112</v>
      </c>
      <c r="H15" s="33" t="s">
        <v>117</v>
      </c>
    </row>
    <row r="16" spans="4:8" ht="28" x14ac:dyDescent="0.2">
      <c r="D16" s="49">
        <f t="shared" si="0"/>
        <v>4</v>
      </c>
      <c r="E16" s="50" t="s">
        <v>150</v>
      </c>
      <c r="F16" s="31"/>
      <c r="G16" s="70" t="s">
        <v>112</v>
      </c>
      <c r="H16" s="33" t="s">
        <v>118</v>
      </c>
    </row>
    <row r="17" spans="4:8" ht="14" x14ac:dyDescent="0.2">
      <c r="D17" s="49">
        <f t="shared" si="0"/>
        <v>5</v>
      </c>
      <c r="E17" s="50" t="s">
        <v>151</v>
      </c>
      <c r="F17" s="31"/>
      <c r="G17" s="32" t="s">
        <v>9</v>
      </c>
      <c r="H17" s="33"/>
    </row>
    <row r="18" spans="4:8" ht="14" x14ac:dyDescent="0.2">
      <c r="D18" s="49">
        <f t="shared" si="0"/>
        <v>6</v>
      </c>
      <c r="E18" s="50" t="s">
        <v>152</v>
      </c>
      <c r="F18" s="31"/>
      <c r="G18" s="70" t="s">
        <v>109</v>
      </c>
      <c r="H18" s="33"/>
    </row>
    <row r="19" spans="4:8" ht="14" x14ac:dyDescent="0.2">
      <c r="D19" s="49">
        <f t="shared" si="0"/>
        <v>7</v>
      </c>
      <c r="E19" s="50" t="s">
        <v>153</v>
      </c>
      <c r="F19" s="31"/>
      <c r="G19" s="70" t="s">
        <v>112</v>
      </c>
      <c r="H19" s="33" t="s">
        <v>118</v>
      </c>
    </row>
    <row r="20" spans="4:8" ht="14" x14ac:dyDescent="0.2">
      <c r="D20" s="49">
        <f t="shared" si="0"/>
        <v>8</v>
      </c>
      <c r="E20" s="50" t="s">
        <v>154</v>
      </c>
      <c r="F20" s="31"/>
      <c r="G20" s="70" t="s">
        <v>109</v>
      </c>
      <c r="H20" s="33"/>
    </row>
    <row r="21" spans="4:8" ht="14" x14ac:dyDescent="0.2">
      <c r="D21" s="49">
        <f t="shared" si="0"/>
        <v>9</v>
      </c>
      <c r="E21" s="50" t="s">
        <v>155</v>
      </c>
      <c r="F21" s="31"/>
      <c r="G21" s="32" t="s">
        <v>9</v>
      </c>
      <c r="H21" s="33"/>
    </row>
    <row r="22" spans="4:8" ht="14" x14ac:dyDescent="0.2">
      <c r="D22" s="49">
        <f t="shared" si="0"/>
        <v>10</v>
      </c>
      <c r="E22" s="50" t="s">
        <v>156</v>
      </c>
      <c r="F22" s="31"/>
      <c r="G22" s="70" t="s">
        <v>112</v>
      </c>
      <c r="H22" s="33" t="s">
        <v>118</v>
      </c>
    </row>
    <row r="23" spans="4:8" ht="28" x14ac:dyDescent="0.2">
      <c r="D23" s="49">
        <f t="shared" si="0"/>
        <v>11</v>
      </c>
      <c r="E23" s="50" t="s">
        <v>157</v>
      </c>
      <c r="F23" s="31"/>
      <c r="G23" s="70" t="s">
        <v>112</v>
      </c>
      <c r="H23" s="33" t="s">
        <v>113</v>
      </c>
    </row>
    <row r="24" spans="4:8" ht="14" x14ac:dyDescent="0.2">
      <c r="D24" s="49">
        <f t="shared" si="0"/>
        <v>12</v>
      </c>
      <c r="E24" s="50" t="s">
        <v>158</v>
      </c>
      <c r="F24" s="31"/>
      <c r="G24" s="32" t="s">
        <v>9</v>
      </c>
      <c r="H24" s="33"/>
    </row>
    <row r="25" spans="4:8" ht="28" x14ac:dyDescent="0.2">
      <c r="D25" s="49">
        <f t="shared" si="0"/>
        <v>13</v>
      </c>
      <c r="E25" s="50" t="s">
        <v>159</v>
      </c>
      <c r="F25" s="31"/>
      <c r="G25" s="32" t="s">
        <v>9</v>
      </c>
      <c r="H25" s="33"/>
    </row>
    <row r="26" spans="4:8" ht="28" x14ac:dyDescent="0.2">
      <c r="D26" s="49">
        <f t="shared" si="0"/>
        <v>14</v>
      </c>
      <c r="E26" s="50" t="s">
        <v>160</v>
      </c>
      <c r="F26" s="31"/>
      <c r="G26" s="32" t="s">
        <v>9</v>
      </c>
      <c r="H26" s="33"/>
    </row>
    <row r="27" spans="4:8" ht="28" x14ac:dyDescent="0.2">
      <c r="D27" s="49">
        <f t="shared" si="0"/>
        <v>15</v>
      </c>
      <c r="E27" s="50" t="s">
        <v>161</v>
      </c>
      <c r="F27" s="31"/>
      <c r="G27" s="70" t="s">
        <v>112</v>
      </c>
      <c r="H27" s="33"/>
    </row>
    <row r="28" spans="4:8" ht="14" x14ac:dyDescent="0.2">
      <c r="D28" s="49">
        <f>+D27+1</f>
        <v>16</v>
      </c>
      <c r="E28" s="50" t="s">
        <v>162</v>
      </c>
      <c r="F28" s="31"/>
      <c r="G28" s="32" t="s">
        <v>9</v>
      </c>
      <c r="H28" s="33"/>
    </row>
    <row r="29" spans="4:8" ht="14" x14ac:dyDescent="0.2">
      <c r="D29" s="49">
        <v>17</v>
      </c>
      <c r="E29" s="50" t="s">
        <v>163</v>
      </c>
      <c r="F29" s="31"/>
      <c r="G29" s="32" t="s">
        <v>9</v>
      </c>
      <c r="H29" s="33"/>
    </row>
    <row r="30" spans="4:8" ht="14" x14ac:dyDescent="0.2">
      <c r="D30" s="49">
        <v>18</v>
      </c>
      <c r="E30" s="50" t="s">
        <v>164</v>
      </c>
      <c r="F30" s="31"/>
      <c r="G30" s="70" t="s">
        <v>112</v>
      </c>
      <c r="H30" s="33" t="s">
        <v>118</v>
      </c>
    </row>
    <row r="31" spans="4:8" ht="14" x14ac:dyDescent="0.2">
      <c r="D31" s="49">
        <f t="shared" si="0"/>
        <v>19</v>
      </c>
      <c r="E31" s="50" t="s">
        <v>28</v>
      </c>
      <c r="F31" s="31"/>
      <c r="G31" s="70" t="s">
        <v>112</v>
      </c>
      <c r="H31" s="33" t="s">
        <v>119</v>
      </c>
    </row>
    <row r="32" spans="4:8" ht="14" x14ac:dyDescent="0.2">
      <c r="D32" s="49">
        <f t="shared" si="0"/>
        <v>20</v>
      </c>
      <c r="E32" s="50" t="s">
        <v>165</v>
      </c>
      <c r="F32" s="31"/>
      <c r="G32" s="70" t="s">
        <v>112</v>
      </c>
      <c r="H32" s="33" t="s">
        <v>113</v>
      </c>
    </row>
    <row r="33" spans="3:8" ht="14" x14ac:dyDescent="0.2">
      <c r="D33" s="49">
        <f t="shared" si="0"/>
        <v>21</v>
      </c>
      <c r="E33" s="50" t="s">
        <v>166</v>
      </c>
      <c r="F33" s="31"/>
      <c r="G33" s="70" t="s">
        <v>112</v>
      </c>
      <c r="H33" s="33" t="s">
        <v>113</v>
      </c>
    </row>
    <row r="34" spans="3:8" ht="14" x14ac:dyDescent="0.2">
      <c r="D34" s="49">
        <f t="shared" si="0"/>
        <v>22</v>
      </c>
      <c r="E34" s="50" t="s">
        <v>167</v>
      </c>
      <c r="F34" s="31"/>
      <c r="G34" s="70" t="s">
        <v>109</v>
      </c>
      <c r="H34" s="33"/>
    </row>
    <row r="35" spans="3:8" x14ac:dyDescent="0.2">
      <c r="D35" s="5"/>
      <c r="E35" s="9"/>
      <c r="F35" s="6"/>
      <c r="G35" s="6"/>
      <c r="H35" s="7"/>
    </row>
    <row r="36" spans="3:8" x14ac:dyDescent="0.2">
      <c r="D36" s="55" t="s">
        <v>29</v>
      </c>
      <c r="E36" s="56"/>
      <c r="F36" s="57"/>
      <c r="G36" s="57"/>
      <c r="H36" s="58"/>
    </row>
    <row r="37" spans="3:8" x14ac:dyDescent="0.2">
      <c r="D37" s="3"/>
      <c r="E37" s="9"/>
      <c r="F37" s="3"/>
      <c r="G37" s="3"/>
      <c r="H37" s="7"/>
    </row>
    <row r="38" spans="3:8" ht="14" x14ac:dyDescent="0.2">
      <c r="D38" s="47">
        <f>+D34+1</f>
        <v>23</v>
      </c>
      <c r="E38" s="48" t="s">
        <v>168</v>
      </c>
      <c r="F38" s="34"/>
      <c r="G38" s="70" t="s">
        <v>109</v>
      </c>
      <c r="H38" s="28"/>
    </row>
    <row r="39" spans="3:8" ht="14" x14ac:dyDescent="0.2">
      <c r="D39" s="47">
        <f t="shared" ref="D39:D49" si="1">+D38+1</f>
        <v>24</v>
      </c>
      <c r="E39" s="48" t="s">
        <v>169</v>
      </c>
      <c r="F39" s="27"/>
      <c r="G39" s="35" t="s">
        <v>9</v>
      </c>
      <c r="H39" s="28"/>
    </row>
    <row r="40" spans="3:8" ht="14" x14ac:dyDescent="0.2">
      <c r="D40" s="47">
        <f t="shared" si="1"/>
        <v>25</v>
      </c>
      <c r="E40" s="48" t="s">
        <v>170</v>
      </c>
      <c r="F40" s="27"/>
      <c r="G40" s="35" t="s">
        <v>9</v>
      </c>
      <c r="H40" s="28"/>
    </row>
    <row r="41" spans="3:8" ht="14" x14ac:dyDescent="0.2">
      <c r="D41" s="47">
        <f t="shared" si="1"/>
        <v>26</v>
      </c>
      <c r="E41" s="48" t="s">
        <v>171</v>
      </c>
      <c r="F41" s="27"/>
      <c r="G41" s="70" t="s">
        <v>109</v>
      </c>
      <c r="H41" s="28"/>
    </row>
    <row r="42" spans="3:8" ht="14" x14ac:dyDescent="0.2">
      <c r="D42" s="47">
        <f t="shared" si="1"/>
        <v>27</v>
      </c>
      <c r="E42" s="48" t="s">
        <v>172</v>
      </c>
      <c r="F42" s="27"/>
      <c r="G42" s="70" t="s">
        <v>109</v>
      </c>
      <c r="H42" s="36"/>
    </row>
    <row r="43" spans="3:8" ht="14" x14ac:dyDescent="0.2">
      <c r="D43" s="47">
        <f t="shared" si="1"/>
        <v>28</v>
      </c>
      <c r="E43" s="48" t="s">
        <v>173</v>
      </c>
      <c r="F43" s="27"/>
      <c r="G43" s="35" t="s">
        <v>9</v>
      </c>
      <c r="H43" s="36"/>
    </row>
    <row r="44" spans="3:8" ht="14" x14ac:dyDescent="0.2">
      <c r="D44" s="49">
        <f t="shared" si="1"/>
        <v>29</v>
      </c>
      <c r="E44" s="50" t="s">
        <v>49</v>
      </c>
      <c r="F44" s="31"/>
      <c r="G44" s="32" t="s">
        <v>9</v>
      </c>
      <c r="H44" s="37"/>
    </row>
    <row r="45" spans="3:8" ht="28" x14ac:dyDescent="0.2">
      <c r="D45" s="49">
        <f t="shared" si="1"/>
        <v>30</v>
      </c>
      <c r="E45" s="50" t="s">
        <v>50</v>
      </c>
      <c r="F45" s="31"/>
      <c r="G45" s="32" t="s">
        <v>9</v>
      </c>
      <c r="H45" s="37"/>
    </row>
    <row r="46" spans="3:8" ht="14" x14ac:dyDescent="0.2">
      <c r="D46" s="49">
        <f t="shared" si="1"/>
        <v>31</v>
      </c>
      <c r="E46" s="50" t="s">
        <v>174</v>
      </c>
      <c r="F46" s="31"/>
      <c r="G46" s="32" t="s">
        <v>9</v>
      </c>
      <c r="H46" s="37"/>
    </row>
    <row r="47" spans="3:8" ht="14" x14ac:dyDescent="0.2">
      <c r="C47" s="5"/>
      <c r="D47" s="49">
        <f t="shared" si="1"/>
        <v>32</v>
      </c>
      <c r="E47" s="49" t="s">
        <v>175</v>
      </c>
      <c r="F47" s="31"/>
      <c r="G47" s="70" t="s">
        <v>112</v>
      </c>
      <c r="H47" s="33" t="s">
        <v>113</v>
      </c>
    </row>
    <row r="48" spans="3:8" ht="14" x14ac:dyDescent="0.2">
      <c r="D48" s="49">
        <f t="shared" si="1"/>
        <v>33</v>
      </c>
      <c r="E48" s="50" t="s">
        <v>176</v>
      </c>
      <c r="F48" s="31"/>
      <c r="G48" s="70" t="s">
        <v>112</v>
      </c>
      <c r="H48" s="33" t="s">
        <v>120</v>
      </c>
    </row>
    <row r="49" spans="4:8" ht="14" x14ac:dyDescent="0.2">
      <c r="D49" s="49">
        <f t="shared" si="1"/>
        <v>34</v>
      </c>
      <c r="E49" s="50" t="s">
        <v>30</v>
      </c>
      <c r="F49" s="31"/>
      <c r="G49" s="75" t="s">
        <v>110</v>
      </c>
      <c r="H49" s="33" t="s">
        <v>121</v>
      </c>
    </row>
    <row r="50" spans="4:8" x14ac:dyDescent="0.2">
      <c r="D50" s="5"/>
      <c r="E50" s="9"/>
      <c r="F50" s="14"/>
      <c r="G50" s="14"/>
      <c r="H50" s="20"/>
    </row>
    <row r="51" spans="4:8" x14ac:dyDescent="0.2">
      <c r="D51" s="55" t="s">
        <v>51</v>
      </c>
      <c r="E51" s="56"/>
      <c r="F51" s="57"/>
      <c r="G51" s="57"/>
      <c r="H51" s="58"/>
    </row>
    <row r="52" spans="4:8" x14ac:dyDescent="0.2">
      <c r="D52" s="3"/>
      <c r="E52" s="9"/>
      <c r="F52" s="3"/>
      <c r="G52" s="3"/>
      <c r="H52" s="7"/>
    </row>
    <row r="53" spans="4:8" ht="14" x14ac:dyDescent="0.2">
      <c r="D53" s="29">
        <f>+D49+1</f>
        <v>35</v>
      </c>
      <c r="E53" s="30" t="s">
        <v>177</v>
      </c>
      <c r="F53" s="38"/>
      <c r="G53" s="70" t="s">
        <v>109</v>
      </c>
      <c r="H53" s="37"/>
    </row>
    <row r="54" spans="4:8" ht="14" x14ac:dyDescent="0.2">
      <c r="D54" s="29">
        <f>+D53+1</f>
        <v>36</v>
      </c>
      <c r="E54" s="30" t="s">
        <v>169</v>
      </c>
      <c r="F54" s="31"/>
      <c r="G54" s="75" t="s">
        <v>110</v>
      </c>
      <c r="H54" s="33" t="s">
        <v>122</v>
      </c>
    </row>
    <row r="55" spans="4:8" ht="14" x14ac:dyDescent="0.2">
      <c r="D55" s="29">
        <f>+D54+1</f>
        <v>37</v>
      </c>
      <c r="E55" s="30" t="s">
        <v>178</v>
      </c>
      <c r="F55" s="31"/>
      <c r="G55" s="32" t="s">
        <v>9</v>
      </c>
      <c r="H55" s="33"/>
    </row>
    <row r="56" spans="4:8" ht="14" x14ac:dyDescent="0.2">
      <c r="D56" s="29">
        <f>+D55+1</f>
        <v>38</v>
      </c>
      <c r="E56" s="30" t="s">
        <v>179</v>
      </c>
      <c r="F56" s="31"/>
      <c r="G56" s="32" t="s">
        <v>9</v>
      </c>
      <c r="H56" s="33"/>
    </row>
    <row r="57" spans="4:8" ht="14" x14ac:dyDescent="0.2">
      <c r="D57" s="29">
        <f>+D56+1</f>
        <v>39</v>
      </c>
      <c r="E57" s="30" t="s">
        <v>180</v>
      </c>
      <c r="F57" s="31"/>
      <c r="G57" s="32" t="s">
        <v>9</v>
      </c>
      <c r="H57" s="33"/>
    </row>
    <row r="58" spans="4:8" x14ac:dyDescent="0.2">
      <c r="D58" s="5"/>
      <c r="E58" s="9"/>
      <c r="F58" s="6"/>
      <c r="G58" s="6"/>
      <c r="H58" s="7"/>
    </row>
    <row r="59" spans="4:8" x14ac:dyDescent="0.2">
      <c r="D59" s="55" t="s">
        <v>31</v>
      </c>
      <c r="E59" s="56"/>
      <c r="F59" s="57"/>
      <c r="G59" s="57"/>
      <c r="H59" s="56"/>
    </row>
    <row r="60" spans="4:8" x14ac:dyDescent="0.2">
      <c r="D60" s="3"/>
      <c r="E60" s="9"/>
      <c r="F60" s="3"/>
      <c r="G60" s="3"/>
      <c r="H60" s="9"/>
    </row>
    <row r="61" spans="4:8" ht="14" x14ac:dyDescent="0.2">
      <c r="D61" s="25">
        <f>+D57+1</f>
        <v>40</v>
      </c>
      <c r="E61" s="26" t="s">
        <v>181</v>
      </c>
      <c r="F61" s="27"/>
      <c r="G61" s="35" t="s">
        <v>9</v>
      </c>
      <c r="H61" s="36"/>
    </row>
    <row r="62" spans="4:8" ht="14" x14ac:dyDescent="0.2">
      <c r="D62" s="25">
        <f>+D61+1</f>
        <v>41</v>
      </c>
      <c r="E62" s="26" t="s">
        <v>182</v>
      </c>
      <c r="F62" s="27"/>
      <c r="G62" s="35" t="s">
        <v>9</v>
      </c>
      <c r="H62" s="28"/>
    </row>
    <row r="63" spans="4:8" ht="14" x14ac:dyDescent="0.2">
      <c r="D63" s="25">
        <f>+D62+1</f>
        <v>42</v>
      </c>
      <c r="E63" s="26" t="s">
        <v>183</v>
      </c>
      <c r="F63" s="27"/>
      <c r="G63" s="70" t="s">
        <v>109</v>
      </c>
      <c r="H63" s="28"/>
    </row>
    <row r="64" spans="4:8" ht="14" x14ac:dyDescent="0.2">
      <c r="D64" s="29">
        <f>+D63+1</f>
        <v>43</v>
      </c>
      <c r="E64" s="30" t="s">
        <v>184</v>
      </c>
      <c r="F64" s="31"/>
      <c r="G64" s="70" t="s">
        <v>109</v>
      </c>
      <c r="H64" s="37"/>
    </row>
    <row r="65" spans="4:8" x14ac:dyDescent="0.2">
      <c r="D65" s="5"/>
      <c r="E65" s="9"/>
      <c r="F65" s="3"/>
      <c r="G65" s="3"/>
      <c r="H65" s="9"/>
    </row>
    <row r="66" spans="4:8" x14ac:dyDescent="0.2">
      <c r="D66" s="55" t="s">
        <v>52</v>
      </c>
      <c r="E66" s="56"/>
      <c r="F66" s="57"/>
      <c r="G66" s="57"/>
      <c r="H66" s="56"/>
    </row>
    <row r="67" spans="4:8" x14ac:dyDescent="0.2">
      <c r="D67" s="3"/>
      <c r="E67" s="9"/>
      <c r="F67" s="3"/>
      <c r="G67" s="3"/>
      <c r="H67" s="9"/>
    </row>
    <row r="68" spans="4:8" ht="28" x14ac:dyDescent="0.2">
      <c r="D68" s="25">
        <f>+D64+1</f>
        <v>44</v>
      </c>
      <c r="E68" s="26" t="s">
        <v>185</v>
      </c>
      <c r="F68" s="27"/>
      <c r="G68" s="70" t="s">
        <v>109</v>
      </c>
      <c r="H68" s="36"/>
    </row>
    <row r="69" spans="4:8" x14ac:dyDescent="0.2">
      <c r="D69" s="5"/>
      <c r="E69" s="9"/>
      <c r="F69" s="3"/>
      <c r="G69" s="3"/>
      <c r="H69" s="9"/>
    </row>
    <row r="70" spans="4:8" ht="14.5" customHeight="1" x14ac:dyDescent="0.2">
      <c r="H70" s="8"/>
    </row>
    <row r="71" spans="4:8" x14ac:dyDescent="0.2">
      <c r="H71" s="8"/>
    </row>
    <row r="72" spans="4:8" x14ac:dyDescent="0.2">
      <c r="H72" s="8"/>
    </row>
    <row r="73" spans="4:8" ht="15" x14ac:dyDescent="0.2">
      <c r="E73" s="4"/>
    </row>
    <row r="74" spans="4:8" ht="15" customHeight="1" x14ac:dyDescent="0.2"/>
  </sheetData>
  <pageMargins left="0.25" right="0.25" top="0.75" bottom="0.75" header="0.3" footer="0.3"/>
  <pageSetup scale="58" fitToHeight="0" orientation="landscape" horizontalDpi="1200" verticalDpi="1200" r:id="rId1"/>
  <headerFooter>
    <oddFooter>&amp;L_x000D_&amp;1#&amp;"Aptos"&amp;10&amp;K000000 RESTRITA</oddFooter>
  </headerFooter>
  <rowBreaks count="1" manualBreakCount="1">
    <brk id="51" min="2" max="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071b1a-3578-492d-a9bd-d7b660c2fa38">
      <Terms xmlns="http://schemas.microsoft.com/office/infopath/2007/PartnerControls"/>
    </lcf76f155ced4ddcb4097134ff3c332f>
    <TaxCatchAll xmlns="21b89583-ef7a-454e-a967-482453f950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99943143A5EB74F9B7BA0ADF7D23E10" ma:contentTypeVersion="20" ma:contentTypeDescription="Crie um novo documento." ma:contentTypeScope="" ma:versionID="67643e39e55d53ddb8c8e5ff9521981a">
  <xsd:schema xmlns:xsd="http://www.w3.org/2001/XMLSchema" xmlns:xs="http://www.w3.org/2001/XMLSchema" xmlns:p="http://schemas.microsoft.com/office/2006/metadata/properties" xmlns:ns2="21b89583-ef7a-454e-a967-482453f95063" xmlns:ns3="a5071b1a-3578-492d-a9bd-d7b660c2fa38" targetNamespace="http://schemas.microsoft.com/office/2006/metadata/properties" ma:root="true" ma:fieldsID="9cbe9a29af358ea70df1a7fe5c533714" ns2:_="" ns3:_="">
    <xsd:import namespace="21b89583-ef7a-454e-a967-482453f95063"/>
    <xsd:import namespace="a5071b1a-3578-492d-a9bd-d7b660c2fa3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2:TaxCatchAll" minOccurs="0"/>
                <xsd:element ref="ns3:MediaServiceDateTaken" minOccurs="0"/>
                <xsd:element ref="ns3:MediaServiceOCR" minOccurs="0"/>
                <xsd:element ref="ns3:MediaServiceGenerationTime" minOccurs="0"/>
                <xsd:element ref="ns3:MediaServiceEventHashCode" minOccurs="0"/>
                <xsd:element ref="ns3:lcf76f155ced4ddcb4097134ff3c332f" minOccurs="0"/>
                <xsd:element ref="ns3:MediaLengthInSecond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b89583-ef7a-454e-a967-482453f95063"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1fc7fe5b-6fdc-4c16-a9ca-24d052700405}" ma:internalName="TaxCatchAll" ma:showField="CatchAllData" ma:web="21b89583-ef7a-454e-a967-482453f9506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071b1a-3578-492d-a9bd-d7b660c2fa3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c5418520-def3-4e38-a906-f141eb43780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BB506D-A137-4A32-BA80-F9F3ADB5F309}">
  <ds:schemaRefs>
    <ds:schemaRef ds:uri="http://schemas.microsoft.com/sharepoint/v3/contenttype/forms"/>
  </ds:schemaRefs>
</ds:datastoreItem>
</file>

<file path=customXml/itemProps2.xml><?xml version="1.0" encoding="utf-8"?>
<ds:datastoreItem xmlns:ds="http://schemas.openxmlformats.org/officeDocument/2006/customXml" ds:itemID="{C02AE743-BB0A-44DE-ADAF-32D776CD591C}">
  <ds:schemaRefs>
    <ds:schemaRef ds:uri="http://schemas.microsoft.com/office/2006/metadata/properties"/>
    <ds:schemaRef ds:uri="http://purl.org/dc/dcmitype/"/>
    <ds:schemaRef ds:uri="a5071b1a-3578-492d-a9bd-d7b660c2fa38"/>
    <ds:schemaRef ds:uri="http://schemas.microsoft.com/office/infopath/2007/PartnerControls"/>
    <ds:schemaRef ds:uri="http://www.w3.org/XML/1998/namespace"/>
    <ds:schemaRef ds:uri="21b89583-ef7a-454e-a967-482453f95063"/>
    <ds:schemaRef ds:uri="http://schemas.microsoft.com/office/2006/documentManagement/types"/>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8802EC2D-6B91-4768-AF58-20A026A105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b89583-ef7a-454e-a967-482453f95063"/>
    <ds:schemaRef ds:uri="a5071b1a-3578-492d-a9bd-d7b660c2fa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07533f-f1b4-41ed-81eb-a1c1d56fbe2e}" enabled="1" method="Privileged" siteId="{85b28421-d45a-4b07-889d-24b528c7f25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Jurídico</vt:lpstr>
      <vt:lpstr>Entidade Consolidada</vt:lpstr>
      <vt:lpstr>Operacional</vt:lpstr>
      <vt:lpstr>'Entidade Consolidada'!Print_Area</vt:lpstr>
      <vt:lpstr>Jurídico!Print_Area</vt:lpstr>
      <vt:lpstr>Operacional!Print_Area</vt:lpstr>
      <vt:lpstr>'Entidade Consolidada'!Print_Titles</vt:lpstr>
      <vt:lpstr>Jurídico!Print_Titles</vt:lpstr>
      <vt:lpstr>Operacional!Print_Titles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Mahr, Calla Marie</dc:creator>
  <cp:lastModifiedBy>Alessandro Barbosa</cp:lastModifiedBy>
  <cp:lastPrinted>2025-03-11T01:09:33Z</cp:lastPrinted>
  <dcterms:created xsi:type="dcterms:W3CDTF">2025-01-14T21:54:09Z</dcterms:created>
  <dcterms:modified xsi:type="dcterms:W3CDTF">2026-02-10T17:11:24Z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0x010100499943143A5EB74F9B7BA0ADF7D23E10</vt:lpwstr>
  </property>
</Properties>
</file>