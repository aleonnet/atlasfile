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https://d.docs.live.net/f43270e39eaaf1d1/Área de Trabalho/Twist/"/>
    </mc:Choice>
  </mc:AlternateContent>
  <xr:revisionPtr revIDLastSave="1" documentId="11_37C5AB30E7887E52A4562CEB427AE84807AD10D8" xr6:coauthVersionLast="47" xr6:coauthVersionMax="47" xr10:uidLastSave="{6E1090E8-B0C7-F642-9C4D-C4C5158BB19C}"/>
  <bookViews>
    <workbookView xWindow="26700" yWindow="6360" windowWidth="26000" windowHeight="16480" tabRatio="722" activeTab="3" xr2:uid="{00000000-000D-0000-FFFF-FFFF00000000}"/>
  </bookViews>
  <sheets>
    <sheet name="Resumo" sheetId="5" r:id="rId1"/>
    <sheet name="Custos De Compra CNPJ - Societ." sheetId="1" r:id="rId2"/>
    <sheet name="Custos para Abertura de Filiais" sheetId="2" r:id="rId3"/>
    <sheet name="Capitais Societário" sheetId="4" r:id="rId4"/>
    <sheet name="Municipios Logística" sheetId="3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5" l="1"/>
  <c r="C8" i="5"/>
  <c r="C7" i="5"/>
  <c r="D7" i="5" s="1"/>
  <c r="C6" i="5"/>
  <c r="B6" i="5"/>
  <c r="B5" i="5"/>
  <c r="C4" i="5"/>
  <c r="B4" i="5"/>
  <c r="F34" i="1" l="1"/>
  <c r="F35" i="1"/>
  <c r="F36" i="1"/>
  <c r="G36" i="1" s="1"/>
  <c r="F37" i="1"/>
  <c r="F38" i="1"/>
  <c r="F40" i="1"/>
  <c r="F41" i="1"/>
  <c r="F44" i="1"/>
  <c r="F47" i="1"/>
  <c r="F33" i="1"/>
  <c r="E46" i="1"/>
  <c r="F46" i="1" s="1"/>
  <c r="E45" i="1"/>
  <c r="F45" i="1" s="1"/>
  <c r="G45" i="1" s="1"/>
  <c r="E43" i="1"/>
  <c r="F43" i="1" s="1"/>
  <c r="E42" i="1"/>
  <c r="F42" i="1" s="1"/>
  <c r="G42" i="1" s="1"/>
  <c r="E40" i="1"/>
  <c r="E39" i="1"/>
  <c r="F39" i="1" s="1"/>
  <c r="G39" i="1" s="1"/>
  <c r="E37" i="1"/>
  <c r="E36" i="1"/>
  <c r="E34" i="1"/>
  <c r="E33" i="1"/>
  <c r="E4" i="1"/>
  <c r="D4" i="5" s="1"/>
  <c r="E20" i="1"/>
  <c r="E25" i="1"/>
  <c r="D6" i="5" s="1"/>
  <c r="D12" i="5" l="1"/>
  <c r="C12" i="5"/>
  <c r="D13" i="5"/>
  <c r="C13" i="5"/>
  <c r="F48" i="1"/>
  <c r="F50" i="1" s="1"/>
  <c r="G33" i="1"/>
  <c r="G48" i="1" s="1"/>
  <c r="C14" i="5"/>
  <c r="D14" i="5"/>
  <c r="G6" i="2"/>
  <c r="C15" i="5" s="1"/>
  <c r="I31" i="2"/>
  <c r="H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I42" i="2"/>
  <c r="H42" i="2"/>
  <c r="G42" i="2"/>
  <c r="J38" i="2"/>
  <c r="I38" i="2"/>
  <c r="H38" i="2"/>
  <c r="G38" i="2"/>
  <c r="J31" i="2"/>
  <c r="H31" i="2"/>
  <c r="G31" i="2"/>
  <c r="J26" i="2"/>
  <c r="I26" i="2"/>
  <c r="H26" i="2"/>
  <c r="G26" i="2"/>
  <c r="J15" i="2"/>
  <c r="I15" i="2"/>
  <c r="H15" i="2"/>
  <c r="G15" i="2"/>
  <c r="J6" i="2"/>
  <c r="J42" i="2" s="1"/>
  <c r="I6" i="2"/>
  <c r="H6" i="2"/>
  <c r="C22" i="1"/>
  <c r="E22" i="1" l="1"/>
  <c r="C5" i="5"/>
  <c r="C9" i="5" s="1"/>
  <c r="K42" i="2"/>
  <c r="D15" i="5"/>
  <c r="C16" i="5"/>
  <c r="D16" i="5"/>
  <c r="E27" i="1" l="1"/>
  <c r="E29" i="1" s="1"/>
  <c r="F53" i="1" s="1"/>
  <c r="F55" i="1" s="1"/>
  <c r="F56" i="1" s="1"/>
  <c r="D5" i="5"/>
  <c r="D9" i="5" s="1"/>
  <c r="D18" i="5" s="1"/>
</calcChain>
</file>

<file path=xl/sharedStrings.xml><?xml version="1.0" encoding="utf-8"?>
<sst xmlns="http://schemas.openxmlformats.org/spreadsheetml/2006/main" count="443" uniqueCount="198">
  <si>
    <t>Honorários + Impostos a calcular - ISS (5%), PIS/COFINS (9,25%)</t>
  </si>
  <si>
    <t>Despesa Inclusa:</t>
  </si>
  <si>
    <t xml:space="preserve">Inclusos ao valor dos honorários de regularização (*) da Companhia na Cidade do Rio de Janeiro, perante a Junta Comercial, Secretaria da Receita Federal, Prefeitura, inscrição junto ao cadastro da Secretaria de Estado de Fazenda (se necessário).           </t>
  </si>
  <si>
    <t xml:space="preserve">(*) HONORÁRIOS DE REGULARIZAÇÃO: ALTERAÇÕES CONSTANTES NA 1ª AGE, DOCUMENTOS POSTERIORES SERÃO COBRADOS. </t>
  </si>
  <si>
    <t>Despesas não inclusas:</t>
  </si>
  <si>
    <r>
      <rPr>
        <b/>
        <sz val="11"/>
        <color rgb="FFFF0000"/>
        <rFont val="Calibri"/>
        <family val="2"/>
        <scheme val="minor"/>
      </rPr>
      <t>Não inclusos as despesas</t>
    </r>
    <r>
      <rPr>
        <b/>
        <sz val="11"/>
        <color rgb="FF1F497D"/>
        <rFont val="Calibri"/>
        <family val="2"/>
        <scheme val="minor"/>
      </rPr>
      <t xml:space="preserve"> e os impostos incidentes na nota fiscal de serviços.</t>
    </r>
  </si>
  <si>
    <r>
      <rPr>
        <b/>
        <sz val="11"/>
        <color rgb="FF1F497D"/>
        <rFont val="Calibri"/>
        <family val="2"/>
        <scheme val="minor"/>
      </rPr>
      <t>Outras Despesas não inclusas:</t>
    </r>
    <r>
      <rPr>
        <b/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taxa da  Junta  Comercial, cópias, autenticações, e outras despesas necessárias à regularização,</t>
    </r>
    <r>
      <rPr>
        <sz val="11"/>
        <color theme="4" tint="-0.499984740745262"/>
        <rFont val="Calibri"/>
        <family val="2"/>
        <scheme val="minor"/>
      </rPr>
      <t xml:space="preserve"> essas despesas serão adiantadas pelo cliente e serão devidamente comprovadas com o envio dos comprovantes de pagamento, e ainda, os impostos incidentes sobre a Nota  Fiscal, p</t>
    </r>
    <r>
      <rPr>
        <sz val="11"/>
        <color rgb="FF1F497D"/>
        <rFont val="Calibri"/>
        <family val="2"/>
        <scheme val="minor"/>
      </rPr>
      <t xml:space="preserve">odendo a NF ser emitida pelas empresas do nosso grupo, são elas: </t>
    </r>
    <r>
      <rPr>
        <b/>
        <sz val="11"/>
        <color rgb="FF1F497D"/>
        <rFont val="Calibri"/>
        <family val="2"/>
        <scheme val="minor"/>
      </rPr>
      <t>EDCA Serviços Societários Ltda. –  CNPJ/ME nº 30.321.763/0001-03</t>
    </r>
    <r>
      <rPr>
        <sz val="11"/>
        <color rgb="FF1F497D"/>
        <rFont val="Calibri"/>
        <family val="2"/>
        <scheme val="minor"/>
      </rPr>
      <t xml:space="preserve"> e </t>
    </r>
    <r>
      <rPr>
        <b/>
        <sz val="11"/>
        <color rgb="FF1F497D"/>
        <rFont val="Calibri"/>
        <family val="2"/>
        <scheme val="minor"/>
      </rPr>
      <t>Vec Editora e Serviços Ltda. – CNPJ/ME nº 30.279.129/0001-41</t>
    </r>
    <r>
      <rPr>
        <sz val="11"/>
        <color rgb="FF1F497D"/>
        <rFont val="Calibri"/>
        <family val="2"/>
        <scheme val="minor"/>
      </rPr>
      <t>.</t>
    </r>
  </si>
  <si>
    <t>Não está incluso ao valor da aquisição, o registro da empresa junto à qualquer Conselho (CRC, CRA, CRM, CREA, Licenças, etc.), se necessário, os honorários ficarão à combinar.</t>
  </si>
  <si>
    <t xml:space="preserve">Caso o pagamento seja efetuado através de câmbio, as despesas com o fechamento do câmbio não estão inclusas no valor de aquisição da sociedade.           </t>
  </si>
  <si>
    <t>REGULARIZAÇÃO DA MESMA NOS ÓRGÃOS COMPETENTES.</t>
  </si>
  <si>
    <t>Cenário 1 (Somente o registro na JUCERJA)</t>
  </si>
  <si>
    <t>Reembolso da taxa de registro na JUCERJA – R$ 754,00</t>
  </si>
  <si>
    <t>Honorários – Isento</t>
  </si>
  <si>
    <t>Taxa de registro na JUCERJA</t>
  </si>
  <si>
    <t>Custo Médio de Mars para abertura de Filial na capital (*)</t>
  </si>
  <si>
    <t>Custo dos Certificados Digitais por empresa</t>
  </si>
  <si>
    <t>Qtde Filial por ClientCo</t>
  </si>
  <si>
    <t>Matriz Empresa</t>
  </si>
  <si>
    <t>Filiais p/ ClientCo - Clientes</t>
  </si>
  <si>
    <t>Filiais CD/CA de Logistica</t>
  </si>
  <si>
    <t>Custo para Regularização das Filiais</t>
  </si>
  <si>
    <t>Custo Filiais Clientes</t>
  </si>
  <si>
    <t>Custo Filiais Logística</t>
  </si>
  <si>
    <t>Custo dos Certificados Digitais</t>
  </si>
  <si>
    <t>CLIENTCO 1</t>
  </si>
  <si>
    <t>AC</t>
  </si>
  <si>
    <t>AM</t>
  </si>
  <si>
    <t>AP</t>
  </si>
  <si>
    <t>PA</t>
  </si>
  <si>
    <t>RJ</t>
  </si>
  <si>
    <t>RO</t>
  </si>
  <si>
    <t>RR</t>
  </si>
  <si>
    <t>TO</t>
  </si>
  <si>
    <t>CLIENTCO 2</t>
  </si>
  <si>
    <t>AL</t>
  </si>
  <si>
    <t>BA</t>
  </si>
  <si>
    <t>CE</t>
  </si>
  <si>
    <t>MA</t>
  </si>
  <si>
    <t>PB</t>
  </si>
  <si>
    <t>PE</t>
  </si>
  <si>
    <t>PI</t>
  </si>
  <si>
    <t>RN</t>
  </si>
  <si>
    <t>SE</t>
  </si>
  <si>
    <t>CLIENTCO 3</t>
  </si>
  <si>
    <t>PR</t>
  </si>
  <si>
    <t>RS</t>
  </si>
  <si>
    <t>SC</t>
  </si>
  <si>
    <t>CLIENTCO 4</t>
  </si>
  <si>
    <t>DF</t>
  </si>
  <si>
    <t>GO</t>
  </si>
  <si>
    <t>MG</t>
  </si>
  <si>
    <t>MS</t>
  </si>
  <si>
    <t>MT</t>
  </si>
  <si>
    <t>CLIENTCO 5</t>
  </si>
  <si>
    <t>ES</t>
  </si>
  <si>
    <t>SP</t>
  </si>
  <si>
    <t>Total Geral</t>
  </si>
  <si>
    <t>(*) Considerações:</t>
  </si>
  <si>
    <t>2 - Não inclusos custos associados aos despachantes, entre eles de locomoção, serviços, etc. Considerado como premissa que não irão nos cobrar, mas há chance de existir cobrança nos locais mais distantes.</t>
  </si>
  <si>
    <t>3 - Não estão contempladas eventuais diligências (Ex.: AVCB, registro de contrato) para cumprimento de exigências, nem os custos societários (Ex: registro da Ata Societária, procuração) que devem ser avaliados com a área competente.</t>
  </si>
  <si>
    <t>4 - Não temos essa verba orçada para 2024.</t>
  </si>
  <si>
    <t>Relação de Itens relacionados ao custo médio que pode variar de acordo com a localidade:</t>
  </si>
  <si>
    <t>Confecção de DBE junto a Receita Federal para Abertura de Filial</t>
  </si>
  <si>
    <t>Inscrição do CNPJ</t>
  </si>
  <si>
    <t xml:space="preserve">Inscrição Municipal </t>
  </si>
  <si>
    <t>Alvará de Funcionamento</t>
  </si>
  <si>
    <t>Relação dos Municipios</t>
  </si>
  <si>
    <t>Justificativa:</t>
  </si>
  <si>
    <t>A nova Oi tem por objetivo a recuperação do crédito de ICMS nas aquisições ONT e para realizar as operações logísticas,  necessita buscar novo OL na UF</t>
  </si>
  <si>
    <t>Operação</t>
  </si>
  <si>
    <t>Estado</t>
  </si>
  <si>
    <t>Nome do Fornecedor</t>
  </si>
  <si>
    <t>Endereço de Entrega</t>
  </si>
  <si>
    <t>Município</t>
  </si>
  <si>
    <t>UPI</t>
  </si>
  <si>
    <t>CA-CD</t>
  </si>
  <si>
    <t>FedEx</t>
  </si>
  <si>
    <t>TERMINAL DE CARGAS DE BELÉM - ROD. BR 316 KM 07 MOD A E D (PÁTIO EXTERNO) - LEVILÂNDIA, CEP: 67030-000 - ANANINDEUA/PA</t>
  </si>
  <si>
    <t>ANANINDEUA</t>
  </si>
  <si>
    <t>Custos de Despachante deverão ser cobrados por fora</t>
  </si>
  <si>
    <t xml:space="preserve">AV. PRESIDENTE KENNEDY, 920 - EDUCANDOS, CEP 69074-000, MANAUS/AM </t>
  </si>
  <si>
    <t>MANAUS</t>
  </si>
  <si>
    <t>CA</t>
  </si>
  <si>
    <t>Serede</t>
  </si>
  <si>
    <t>AV STEPHAN HOUAT SN, LOTE 01, JARDIM MARCO ZERO, CEP 68.903-193, MACAPÁ/AP</t>
  </si>
  <si>
    <t>MACAPÁ</t>
  </si>
  <si>
    <t>Custos de Locomoção</t>
  </si>
  <si>
    <t>RUA LEONCIO BARBOSA N° 1451 /CEP 69313-508, TANCREDO NEVES,  BOA VISTA/RR</t>
  </si>
  <si>
    <t>BOA VISTA</t>
  </si>
  <si>
    <t>Cobrança pelo serviços (Hora)</t>
  </si>
  <si>
    <t>Telemont</t>
  </si>
  <si>
    <t>AV. BRASIL, Nº 638, CONJUNTO XAVIER MAIA, CEP  69903-018, RIO BRANCO/AC</t>
  </si>
  <si>
    <t>RIO BRANCO</t>
  </si>
  <si>
    <t>AV. RAIMUNDO CANTUÁRIA, 2881, BAIRRO ROQUE, CEP. 76.804-434 PORTO VELHO/RO</t>
  </si>
  <si>
    <t>PORTO VELHO</t>
  </si>
  <si>
    <t>ROD TO-050, KM 07, CHACARA RAQUEL Nº SN GALPÃO 02 B CENTRO TAQUARALTO, CEP. 77023-476, PALMAS/TO</t>
  </si>
  <si>
    <t>PALMAS</t>
  </si>
  <si>
    <t xml:space="preserve">BR 101 SUL KM 96,4 Nº 5225 - GALPÃO 03 MÓDULO 04 - DISTRITO INDUSTRIAL DIPER, CEP: 54503-900, CABO DE SANTO AGOSTINHO/PE </t>
  </si>
  <si>
    <t>CABO DE SANTO AGOSTINHO</t>
  </si>
  <si>
    <t xml:space="preserve">CELOG – VIA DE ACESSO II, QUADRA 2 LOTE 53 VIA SUL, CEP 437000-000, SIMÕES FILHO/BA,  </t>
  </si>
  <si>
    <t>SIMÕES FILHO</t>
  </si>
  <si>
    <t>AV. PRES GETULIO VARGAS 66, SERRARIA, CEP 57045-140, MACEIO/AL</t>
  </si>
  <si>
    <t>MACEIO</t>
  </si>
  <si>
    <t>RUA WENEFRIDO MELO, 290, MONDUBIM, CEP: 60762-410, FORTALEZA/CE</t>
  </si>
  <si>
    <t>FORTALEZA</t>
  </si>
  <si>
    <t>R. FREI HERMENEGILDO - AURORA, CEP 65060-190, SÃO LUÍS/MA</t>
  </si>
  <si>
    <t>SÃO LUIS</t>
  </si>
  <si>
    <t>RUA PROFESSORA LUIZA DANTAS MEDEIROS N 99, JOSE AMERICO DE ALMEIDA, CEP 58.073-040, JOAO PESSOA/PB</t>
  </si>
  <si>
    <t>JOÃO PESSOA</t>
  </si>
  <si>
    <t>RUA MARIA DO SOCORRO N° 3175 /CEP 64029-200, SANTO ANTONIO, TERESINA/PI</t>
  </si>
  <si>
    <t>TERESINA</t>
  </si>
  <si>
    <t>RUA MORAIS NAVARROS N° 2030 /CEP 59075-770, SETOR III - LAGOA NOVA,  NATAL-/RN</t>
  </si>
  <si>
    <t>NATAL</t>
  </si>
  <si>
    <t>R DR ARICIO GUIM FORTES 461, CEP 49037-060, ATALAIA, ARACAJU/SE</t>
  </si>
  <si>
    <t>ARACAJU</t>
  </si>
  <si>
    <t xml:space="preserve">RUA ESTRADA DA GRACIOSA, 870, ATUBA, CEP 82840-360, CURITIBA/PR </t>
  </si>
  <si>
    <t>CURITIBA</t>
  </si>
  <si>
    <t>RUA JOAQUIM DE OLIVEIRA, 186 FUNDOS,  ANCHIETA, CEP: 90200-050, PORTO ALEGRE/RS</t>
  </si>
  <si>
    <t>PORTO ALEGRE</t>
  </si>
  <si>
    <t>R ALWIN RUTZEN 130 /CEP 89066-345, ITOUPAVAZINHA, BLUMENAU/SC</t>
  </si>
  <si>
    <t>BLUMENAU</t>
  </si>
  <si>
    <t>CD</t>
  </si>
  <si>
    <t>Pacer</t>
  </si>
  <si>
    <t xml:space="preserve">AC 104, CONJUNTO B, LOTE: 21-22, CEP 72.504-102, SANTA MARIA/DF </t>
  </si>
  <si>
    <t>SANTA MARIA</t>
  </si>
  <si>
    <t>RUA 15 S/N QUADRA 15 LOTE 006 - POLO EMPRESARIAL GOIAS - ETAPA III,  CEP: 74985-253, APARECIDA DE GOIANIA/GO</t>
  </si>
  <si>
    <t xml:space="preserve">APARECIDA DE GOIANIA </t>
  </si>
  <si>
    <t xml:space="preserve">RUA ARTUR 385- JARDIM MONTANHÊS, CEP 30730690, BELO HORIZONTE/MG </t>
  </si>
  <si>
    <t>BELO HORIZONTE</t>
  </si>
  <si>
    <t>R. ANTÔNIO FRANCISCO DE ALMEIDA, 42)- VILA PLANALTO CEP 79009-830, CAMPO GRANDE/MS   </t>
  </si>
  <si>
    <t>CAMPO GRANDE</t>
  </si>
  <si>
    <t xml:space="preserve">AV.JOSÉ ESTEVAO TORQUATRO DA SILVA,1360 BAIRRO JARDIM VITÓRIA, CEP: 78055-731, CUIABÁ/MT    </t>
  </si>
  <si>
    <t>CUIABÁ</t>
  </si>
  <si>
    <t xml:space="preserve">ROD. PRESIDENTE DUTRA, 2550, CEP 21535-502, RIO DE JANEIRO/RJ </t>
  </si>
  <si>
    <t>RIO DE JANEIRO</t>
  </si>
  <si>
    <t>Efetuar descarga é na rua de trás RUA NELCY LOPES VIEIRA 437, JARDIM LIMOEIRO, CEP 29164-901 - SERRA/ES (esquina com a rua Acácio Godim)</t>
  </si>
  <si>
    <t>SERRA</t>
  </si>
  <si>
    <t>RUA JOÃO GALVÃO ANDERSON, 243-CONDOMINIO TICLOG, TERMINAL INDUSTRIAL DE CARGAS E LOGÍSTICA, CEP: 13069-107, CAMPINAS/SP</t>
  </si>
  <si>
    <t>CAMPINAS</t>
  </si>
  <si>
    <t>1 - Há Capitais em que o custo chegou a ~R$ 22 mil, mas adotaram a média dos valores para capital realizados em Mars. Localidades fora da Capital podem ter custos maiores;</t>
  </si>
  <si>
    <t>CHAVE</t>
  </si>
  <si>
    <t>Empresa</t>
  </si>
  <si>
    <t>Nome da Empresa</t>
  </si>
  <si>
    <t>BLOCO</t>
  </si>
  <si>
    <t>UF</t>
  </si>
  <si>
    <t>PREVE DROP DE CLIENTES?</t>
  </si>
  <si>
    <t>CLASSIFICAÇÃO</t>
  </si>
  <si>
    <t>CCOX</t>
  </si>
  <si>
    <t>SIM</t>
  </si>
  <si>
    <t>FILIAL</t>
  </si>
  <si>
    <t>NÃO</t>
  </si>
  <si>
    <t>MATRIZ</t>
  </si>
  <si>
    <t>CCOY</t>
  </si>
  <si>
    <t>CCOW</t>
  </si>
  <si>
    <t>CCOQ</t>
  </si>
  <si>
    <t>CCOO</t>
  </si>
  <si>
    <t>Qtde</t>
  </si>
  <si>
    <t>5 - Localidades Previstas nas abas Municipios Logistica e Capitais Societário</t>
  </si>
  <si>
    <t>Públicação da ata de AGE (alteração estatutária) e Estatuto Social (ato registrado pelo Eduardo Duarte)</t>
  </si>
  <si>
    <t>&lt;&lt; Valor ajustado após receber o valor do fornecedor em 27/03/24</t>
  </si>
  <si>
    <t>Custo Unitário</t>
  </si>
  <si>
    <t>Qtde Empresas</t>
  </si>
  <si>
    <t>Custo Total</t>
  </si>
  <si>
    <t>Total para Aquisição dos 5 CNPJs</t>
  </si>
  <si>
    <t>Honorário Liquido de compra empresa:</t>
  </si>
  <si>
    <t>Não incluso no valor acima o IRPJ, CSSL</t>
  </si>
  <si>
    <t>Aprovação Complementar em 27/03/24</t>
  </si>
  <si>
    <t>Já aprovado pelo N1 em 22/03/24</t>
  </si>
  <si>
    <t>&lt;&lt; parte 1</t>
  </si>
  <si>
    <t>Custos Societários para Abertura de Filiais por Client Co</t>
  </si>
  <si>
    <t>Procurações públicas (13 despachantes, sendo R$ 550 por procuração)</t>
  </si>
  <si>
    <t>Procurações públicas da ClientCo (13 despachantes, sendo R$ 550 por procuração)</t>
  </si>
  <si>
    <t>Client Co</t>
  </si>
  <si>
    <t>Registro das atas de ReDir da ClientCo (abertura de 8 filiais e 7 CD/CA)</t>
  </si>
  <si>
    <t>Registro das atas de ReDir (abertura de 10 filiais e 9 CD/CA)</t>
  </si>
  <si>
    <t>Publicação de ReDir (abertura de 4 filiais e 3 CD/CA - R$ 630,00 por ata publicada)</t>
  </si>
  <si>
    <t>Publicação de ReDir ClientCo (abertura  de 8 filiais e 7 CD/CA - R$ 630,00 por ata publicada)</t>
  </si>
  <si>
    <t>Publicação de ReDir (abertura de 10 filiais e 9 CD/CA - R$ 630,00 por ata publicada)</t>
  </si>
  <si>
    <t>Publicação de ReDir (abertura de 6 filiais e 5 CD/CA - R$ 630,00 por ata publicada)</t>
  </si>
  <si>
    <t>Registro das atas de ReDir (abertura de 6 filiais e 5 CD/CA)</t>
  </si>
  <si>
    <t>Registro das atas de ReDir (abertura de 4 filiais e 3 CD/CA)</t>
  </si>
  <si>
    <t>Registro das atas de ReDir (abertura de 3 filiais e 3 CD/CA)</t>
  </si>
  <si>
    <t>Publicação de ReDir (abertura de 3 filiais e 3 CD/CA - R$ 630,00 por ata publicada)</t>
  </si>
  <si>
    <t>Qtde filiais ex-matriz/ Despachantes</t>
  </si>
  <si>
    <t>Total</t>
  </si>
  <si>
    <t>Custo por ClientCo</t>
  </si>
  <si>
    <t>&lt;&lt; parte 2</t>
  </si>
  <si>
    <t>Total da Aprovação Complementar</t>
  </si>
  <si>
    <t>Aquisição CNPJ</t>
  </si>
  <si>
    <t>5 CNPJ</t>
  </si>
  <si>
    <t>1 CNPJ</t>
  </si>
  <si>
    <t>Certificado Digital</t>
  </si>
  <si>
    <t>(*) Itens envolvidos</t>
  </si>
  <si>
    <t>Publicação de ReDir ClientCo (abertura de filiais/CD/CA - R$ 630,00 por ata publicada)</t>
  </si>
  <si>
    <t>Registro das atas de ReDir da ClientCo (abertura de filiais/CD/CA - R$ 754,00 por ata)</t>
  </si>
  <si>
    <t>Custos de ATD à fiscalização para demais filiais*</t>
  </si>
  <si>
    <t>Abertura de Filiais - 53 no total</t>
  </si>
  <si>
    <t>Custos de ATD à fiscalização para matriz* (5 do RJ)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</si>
</sst>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1F497D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u/>
      <sz val="11"/>
      <color rgb="FF1F497D"/>
      <name val="Calibri"/>
      <family val="2"/>
      <scheme val="minor"/>
    </font>
    <font>
      <b/>
      <i/>
      <sz val="11"/>
      <color rgb="FF44546A"/>
      <name val="Calibri"/>
      <family val="2"/>
      <scheme val="minor"/>
    </font>
    <font>
      <sz val="11"/>
      <color rgb="FF44546A"/>
      <name val="Calibri"/>
      <family val="2"/>
      <scheme val="minor"/>
    </font>
    <font>
      <b/>
      <sz val="11"/>
      <color rgb="FF44546A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0404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9E0B"/>
        <bgColor indexed="64"/>
      </patternFill>
    </fill>
    <fill>
      <patternFill patternType="solid">
        <fgColor rgb="FF009E0B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6">
    <xf numFmtId="0" fontId="0" fillId="0" borderId="0" xfId="0"/>
    <xf numFmtId="0" fontId="6" fillId="2" borderId="0" xfId="0" applyFont="1" applyFill="1" applyAlignment="1">
      <alignment vertical="center"/>
    </xf>
    <xf numFmtId="44" fontId="0" fillId="0" borderId="0" xfId="0" applyNumberFormat="1"/>
    <xf numFmtId="0" fontId="4" fillId="0" borderId="0" xfId="0" applyFont="1"/>
    <xf numFmtId="0" fontId="0" fillId="0" borderId="0" xfId="0" quotePrefix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4" fontId="0" fillId="0" borderId="0" xfId="1" applyFont="1" applyBorder="1"/>
    <xf numFmtId="0" fontId="12" fillId="0" borderId="2" xfId="0" applyFont="1" applyBorder="1" applyAlignment="1">
      <alignment vertical="center"/>
    </xf>
    <xf numFmtId="44" fontId="0" fillId="0" borderId="2" xfId="1" applyFont="1" applyBorder="1"/>
    <xf numFmtId="0" fontId="12" fillId="2" borderId="0" xfId="0" applyFont="1" applyFill="1" applyAlignment="1">
      <alignment vertical="center"/>
    </xf>
    <xf numFmtId="44" fontId="0" fillId="3" borderId="0" xfId="1" applyFont="1" applyFill="1"/>
    <xf numFmtId="44" fontId="0" fillId="0" borderId="0" xfId="1" applyFont="1"/>
    <xf numFmtId="44" fontId="0" fillId="3" borderId="0" xfId="0" applyNumberFormat="1" applyFill="1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44" fontId="4" fillId="0" borderId="0" xfId="0" applyNumberFormat="1" applyFont="1" applyAlignment="1">
      <alignment horizontal="center"/>
    </xf>
    <xf numFmtId="44" fontId="4" fillId="0" borderId="0" xfId="0" applyNumberFormat="1" applyFont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44" fontId="4" fillId="0" borderId="2" xfId="0" applyNumberFormat="1" applyFont="1" applyBorder="1" applyAlignment="1">
      <alignment horizontal="center"/>
    </xf>
    <xf numFmtId="44" fontId="4" fillId="0" borderId="2" xfId="0" applyNumberFormat="1" applyFont="1" applyBorder="1"/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5" fillId="0" borderId="0" xfId="0" applyFont="1"/>
    <xf numFmtId="0" fontId="14" fillId="0" borderId="0" xfId="0" applyFont="1"/>
    <xf numFmtId="0" fontId="0" fillId="0" borderId="0" xfId="0" applyAlignment="1">
      <alignment wrapText="1"/>
    </xf>
    <xf numFmtId="0" fontId="4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6" fillId="7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 wrapText="1"/>
    </xf>
    <xf numFmtId="0" fontId="16" fillId="7" borderId="1" xfId="0" applyFont="1" applyFill="1" applyBorder="1" applyAlignment="1">
      <alignment horizontal="left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44" fontId="4" fillId="3" borderId="0" xfId="1" applyFont="1" applyFill="1" applyBorder="1"/>
    <xf numFmtId="0" fontId="5" fillId="8" borderId="0" xfId="0" applyFont="1" applyFill="1"/>
    <xf numFmtId="0" fontId="2" fillId="8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44" fontId="3" fillId="2" borderId="0" xfId="1" applyFont="1" applyFill="1" applyBorder="1"/>
    <xf numFmtId="0" fontId="12" fillId="0" borderId="0" xfId="0" applyFont="1" applyAlignment="1">
      <alignment vertical="center" wrapText="1"/>
    </xf>
    <xf numFmtId="0" fontId="0" fillId="0" borderId="2" xfId="0" applyBorder="1"/>
    <xf numFmtId="44" fontId="0" fillId="0" borderId="0" xfId="0" applyNumberFormat="1" applyAlignment="1">
      <alignment vertical="center"/>
    </xf>
    <xf numFmtId="0" fontId="0" fillId="0" borderId="2" xfId="0" applyBorder="1" applyAlignment="1">
      <alignment horizontal="center"/>
    </xf>
    <xf numFmtId="0" fontId="12" fillId="11" borderId="2" xfId="0" applyFont="1" applyFill="1" applyBorder="1" applyAlignment="1">
      <alignment vertical="center"/>
    </xf>
    <xf numFmtId="0" fontId="0" fillId="11" borderId="2" xfId="0" applyFill="1" applyBorder="1" applyAlignment="1">
      <alignment horizontal="center"/>
    </xf>
    <xf numFmtId="0" fontId="11" fillId="11" borderId="0" xfId="0" applyFont="1" applyFill="1" applyAlignment="1">
      <alignment vertical="center"/>
    </xf>
    <xf numFmtId="0" fontId="0" fillId="11" borderId="0" xfId="0" applyFill="1" applyAlignment="1">
      <alignment horizontal="center"/>
    </xf>
    <xf numFmtId="44" fontId="0" fillId="3" borderId="0" xfId="1" applyFont="1" applyFill="1" applyBorder="1"/>
    <xf numFmtId="0" fontId="6" fillId="2" borderId="2" xfId="0" applyFont="1" applyFill="1" applyBorder="1" applyAlignment="1">
      <alignment vertical="center"/>
    </xf>
    <xf numFmtId="44" fontId="0" fillId="2" borderId="2" xfId="1" applyFont="1" applyFill="1" applyBorder="1"/>
    <xf numFmtId="4" fontId="0" fillId="0" borderId="0" xfId="0" applyNumberFormat="1"/>
    <xf numFmtId="0" fontId="13" fillId="0" borderId="3" xfId="0" applyFont="1" applyBorder="1" applyAlignment="1">
      <alignment vertical="center"/>
    </xf>
    <xf numFmtId="44" fontId="4" fillId="0" borderId="4" xfId="1" applyFont="1" applyBorder="1"/>
    <xf numFmtId="0" fontId="4" fillId="0" borderId="4" xfId="0" applyFont="1" applyBorder="1"/>
    <xf numFmtId="44" fontId="4" fillId="0" borderId="5" xfId="0" applyNumberFormat="1" applyFont="1" applyBorder="1"/>
    <xf numFmtId="0" fontId="13" fillId="12" borderId="6" xfId="0" applyFont="1" applyFill="1" applyBorder="1" applyAlignment="1">
      <alignment vertical="center"/>
    </xf>
    <xf numFmtId="0" fontId="13" fillId="12" borderId="6" xfId="0" applyFont="1" applyFill="1" applyBorder="1" applyAlignment="1">
      <alignment horizontal="center" vertical="center"/>
    </xf>
    <xf numFmtId="0" fontId="17" fillId="0" borderId="0" xfId="0" applyFont="1" applyAlignment="1">
      <alignment horizontal="justify" vertical="center"/>
    </xf>
    <xf numFmtId="0" fontId="17" fillId="0" borderId="2" xfId="0" applyFont="1" applyBorder="1" applyAlignment="1">
      <alignment horizontal="justify" vertical="center"/>
    </xf>
    <xf numFmtId="44" fontId="0" fillId="0" borderId="2" xfId="0" applyNumberFormat="1" applyBorder="1"/>
    <xf numFmtId="0" fontId="17" fillId="0" borderId="0" xfId="0" applyFont="1" applyAlignment="1">
      <alignment horizontal="right" vertical="center"/>
    </xf>
    <xf numFmtId="0" fontId="0" fillId="12" borderId="6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 wrapText="1"/>
    </xf>
    <xf numFmtId="0" fontId="12" fillId="0" borderId="3" xfId="0" applyFont="1" applyBorder="1" applyAlignment="1">
      <alignment vertical="center"/>
    </xf>
    <xf numFmtId="44" fontId="0" fillId="0" borderId="4" xfId="1" applyFont="1" applyBorder="1"/>
    <xf numFmtId="0" fontId="0" fillId="0" borderId="4" xfId="0" applyBorder="1"/>
    <xf numFmtId="44" fontId="0" fillId="0" borderId="4" xfId="0" applyNumberFormat="1" applyBorder="1"/>
    <xf numFmtId="0" fontId="0" fillId="0" borderId="5" xfId="0" applyBorder="1"/>
    <xf numFmtId="44" fontId="0" fillId="0" borderId="0" xfId="1" applyFont="1" applyFill="1" applyAlignment="1">
      <alignment vertical="center"/>
    </xf>
    <xf numFmtId="0" fontId="0" fillId="3" borderId="0" xfId="0" applyFill="1"/>
    <xf numFmtId="44" fontId="4" fillId="3" borderId="0" xfId="0" applyNumberFormat="1" applyFont="1" applyFill="1" applyAlignment="1">
      <alignment horizontal="center"/>
    </xf>
    <xf numFmtId="44" fontId="4" fillId="3" borderId="0" xfId="0" applyNumberFormat="1" applyFont="1" applyFill="1"/>
    <xf numFmtId="0" fontId="15" fillId="0" borderId="0" xfId="0" applyFont="1"/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2"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ejamento%20de%20Abertura%20de%20Filiais_ClientCo_2024.03.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cietário"/>
      <sheetName val="Logistica"/>
      <sheetName val="Total"/>
      <sheetName val="TD"/>
      <sheetName val="Atividades"/>
      <sheetName val="Custos De Compra CNPJ"/>
      <sheetName val="Custos para Abertura de Filiais"/>
      <sheetName val="Municipios Logística"/>
    </sheetNames>
    <sheetDataSet>
      <sheetData sheetId="0"/>
      <sheetData sheetId="1">
        <row r="2">
          <cell r="D2" t="str">
            <v>RO</v>
          </cell>
          <cell r="E2" t="str">
            <v>CA</v>
          </cell>
          <cell r="F2">
            <v>1</v>
          </cell>
          <cell r="G2" t="str">
            <v>CLIENTCO 1</v>
          </cell>
        </row>
        <row r="3">
          <cell r="D3" t="str">
            <v>TO</v>
          </cell>
          <cell r="E3" t="str">
            <v>CA</v>
          </cell>
          <cell r="F3">
            <v>1</v>
          </cell>
          <cell r="G3" t="str">
            <v>CLIENTCO 1</v>
          </cell>
        </row>
        <row r="4">
          <cell r="D4" t="str">
            <v>AC</v>
          </cell>
          <cell r="E4" t="str">
            <v>CA</v>
          </cell>
          <cell r="F4">
            <v>1</v>
          </cell>
          <cell r="G4" t="str">
            <v>CLIENTCO 1</v>
          </cell>
        </row>
        <row r="5">
          <cell r="D5" t="str">
            <v>RR</v>
          </cell>
          <cell r="E5" t="str">
            <v>CA</v>
          </cell>
          <cell r="F5">
            <v>1</v>
          </cell>
          <cell r="G5" t="str">
            <v>CLIENTCO 1</v>
          </cell>
        </row>
        <row r="6">
          <cell r="D6" t="str">
            <v>AP</v>
          </cell>
          <cell r="E6" t="str">
            <v>CA</v>
          </cell>
          <cell r="F6">
            <v>1</v>
          </cell>
          <cell r="G6" t="str">
            <v>CLIENTCO 1</v>
          </cell>
        </row>
        <row r="7">
          <cell r="D7" t="str">
            <v>AM</v>
          </cell>
          <cell r="E7" t="str">
            <v>CD</v>
          </cell>
          <cell r="F7">
            <v>1</v>
          </cell>
          <cell r="G7" t="str">
            <v>CLIENTCO 1</v>
          </cell>
        </row>
        <row r="8">
          <cell r="D8" t="str">
            <v>PA</v>
          </cell>
          <cell r="E8" t="str">
            <v>CD</v>
          </cell>
          <cell r="F8">
            <v>1</v>
          </cell>
          <cell r="G8" t="str">
            <v>CLIENTCO 1</v>
          </cell>
        </row>
        <row r="9">
          <cell r="D9" t="str">
            <v>RN</v>
          </cell>
          <cell r="E9" t="str">
            <v>CA</v>
          </cell>
          <cell r="F9">
            <v>1</v>
          </cell>
          <cell r="G9" t="str">
            <v>CLIENTCO 2</v>
          </cell>
        </row>
        <row r="10">
          <cell r="D10" t="str">
            <v>PB</v>
          </cell>
          <cell r="E10" t="str">
            <v>CA</v>
          </cell>
          <cell r="F10">
            <v>1</v>
          </cell>
          <cell r="G10" t="str">
            <v>CLIENTCO 2</v>
          </cell>
        </row>
        <row r="11">
          <cell r="D11" t="str">
            <v>PI</v>
          </cell>
          <cell r="E11" t="str">
            <v>CA</v>
          </cell>
          <cell r="F11">
            <v>1</v>
          </cell>
          <cell r="G11" t="str">
            <v>CLIENTCO 2</v>
          </cell>
        </row>
        <row r="12">
          <cell r="D12" t="str">
            <v>SE</v>
          </cell>
          <cell r="E12" t="str">
            <v>CA</v>
          </cell>
          <cell r="F12">
            <v>1</v>
          </cell>
          <cell r="G12" t="str">
            <v>CLIENTCO 2</v>
          </cell>
        </row>
        <row r="13">
          <cell r="D13" t="str">
            <v>AL</v>
          </cell>
          <cell r="E13" t="str">
            <v>CA</v>
          </cell>
          <cell r="F13">
            <v>1</v>
          </cell>
          <cell r="G13" t="str">
            <v>CLIENTCO 2</v>
          </cell>
        </row>
        <row r="14">
          <cell r="D14" t="str">
            <v>BA</v>
          </cell>
          <cell r="E14" t="str">
            <v>CA</v>
          </cell>
          <cell r="F14">
            <v>1</v>
          </cell>
          <cell r="G14" t="str">
            <v>CLIENTCO 2</v>
          </cell>
        </row>
        <row r="15">
          <cell r="D15" t="str">
            <v>PE</v>
          </cell>
          <cell r="E15" t="str">
            <v>CD</v>
          </cell>
          <cell r="F15">
            <v>1</v>
          </cell>
          <cell r="G15" t="str">
            <v>CLIENTCO 2</v>
          </cell>
        </row>
        <row r="16">
          <cell r="D16" t="str">
            <v>CE</v>
          </cell>
          <cell r="E16" t="str">
            <v>CA</v>
          </cell>
          <cell r="F16">
            <v>1</v>
          </cell>
          <cell r="G16" t="str">
            <v>CLIENTCO 2</v>
          </cell>
        </row>
        <row r="17">
          <cell r="D17" t="str">
            <v>MA</v>
          </cell>
          <cell r="E17" t="str">
            <v>CA</v>
          </cell>
          <cell r="F17">
            <v>1</v>
          </cell>
          <cell r="G17" t="str">
            <v>CLIENTCO 2</v>
          </cell>
        </row>
        <row r="18">
          <cell r="D18" t="str">
            <v>SC</v>
          </cell>
          <cell r="E18" t="str">
            <v>CA</v>
          </cell>
          <cell r="F18">
            <v>1</v>
          </cell>
          <cell r="G18" t="str">
            <v>CLIENTCO 3</v>
          </cell>
        </row>
        <row r="19">
          <cell r="D19" t="str">
            <v>PR</v>
          </cell>
          <cell r="E19" t="str">
            <v>CD</v>
          </cell>
          <cell r="F19">
            <v>1</v>
          </cell>
          <cell r="G19" t="str">
            <v>CLIENTCO 3</v>
          </cell>
        </row>
        <row r="20">
          <cell r="D20" t="str">
            <v>RS</v>
          </cell>
          <cell r="E20" t="str">
            <v>CA</v>
          </cell>
          <cell r="F20">
            <v>1</v>
          </cell>
          <cell r="G20" t="str">
            <v>CLIENTCO 3</v>
          </cell>
        </row>
        <row r="21">
          <cell r="D21" t="str">
            <v>GO</v>
          </cell>
          <cell r="E21" t="str">
            <v>CA</v>
          </cell>
          <cell r="F21">
            <v>1</v>
          </cell>
          <cell r="G21" t="str">
            <v>CLIENTCO 4</v>
          </cell>
        </row>
        <row r="22">
          <cell r="D22" t="str">
            <v>MS</v>
          </cell>
          <cell r="E22" t="str">
            <v>CA</v>
          </cell>
          <cell r="F22">
            <v>1</v>
          </cell>
          <cell r="G22" t="str">
            <v>CLIENTCO 4</v>
          </cell>
        </row>
        <row r="23">
          <cell r="D23" t="str">
            <v>MT</v>
          </cell>
          <cell r="E23" t="str">
            <v>CA</v>
          </cell>
          <cell r="F23">
            <v>1</v>
          </cell>
          <cell r="G23" t="str">
            <v>CLIENTCO 4</v>
          </cell>
        </row>
        <row r="24">
          <cell r="D24" t="str">
            <v>MG</v>
          </cell>
          <cell r="E24" t="str">
            <v>CA</v>
          </cell>
          <cell r="F24">
            <v>1</v>
          </cell>
          <cell r="G24" t="str">
            <v>CLIENTCO 4</v>
          </cell>
        </row>
        <row r="25">
          <cell r="D25" t="str">
            <v>DF</v>
          </cell>
          <cell r="E25" t="str">
            <v>CD</v>
          </cell>
          <cell r="F25">
            <v>1</v>
          </cell>
          <cell r="G25" t="str">
            <v>CLIENTCO 4</v>
          </cell>
        </row>
        <row r="26">
          <cell r="D26" t="str">
            <v>ES</v>
          </cell>
          <cell r="E26" t="str">
            <v>CA</v>
          </cell>
          <cell r="F26">
            <v>1</v>
          </cell>
          <cell r="G26" t="str">
            <v>CLIENTCO 5</v>
          </cell>
        </row>
        <row r="27">
          <cell r="D27" t="str">
            <v>SP</v>
          </cell>
          <cell r="E27" t="str">
            <v>CA</v>
          </cell>
          <cell r="F27">
            <v>1</v>
          </cell>
          <cell r="G27" t="str">
            <v>CLIENTCO 5</v>
          </cell>
        </row>
        <row r="28">
          <cell r="D28" t="str">
            <v>RJ</v>
          </cell>
          <cell r="E28" t="str">
            <v>CD</v>
          </cell>
          <cell r="F28">
            <v>1</v>
          </cell>
          <cell r="G28" t="str">
            <v>CLIENTCO 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22"/>
  <sheetViews>
    <sheetView showGridLines="0" topLeftCell="A2" workbookViewId="0">
      <selection activeCell="H17" sqref="H17"/>
    </sheetView>
  </sheetViews>
  <sheetFormatPr baseColWidth="10" defaultColWidth="8.83203125" defaultRowHeight="15" x14ac:dyDescent="0.2"/>
  <cols>
    <col min="2" max="2" width="93.33203125" bestFit="1" customWidth="1"/>
    <col min="3" max="3" width="13.33203125" bestFit="1" customWidth="1"/>
    <col min="4" max="4" width="14.33203125" bestFit="1" customWidth="1"/>
  </cols>
  <sheetData>
    <row r="3" spans="2:4" x14ac:dyDescent="0.2">
      <c r="B3" s="3" t="s">
        <v>188</v>
      </c>
      <c r="C3" t="s">
        <v>190</v>
      </c>
      <c r="D3" t="s">
        <v>189</v>
      </c>
    </row>
    <row r="4" spans="2:4" x14ac:dyDescent="0.2">
      <c r="B4" t="str">
        <f>'Custos De Compra CNPJ - Societ.'!B4</f>
        <v>Honorários + Impostos a calcular - ISS (5%), PIS/COFINS (9,25%)</v>
      </c>
      <c r="C4" s="2">
        <f>'Custos De Compra CNPJ - Societ.'!C4</f>
        <v>9248.5499999999993</v>
      </c>
      <c r="D4" s="2">
        <f>'Custos De Compra CNPJ - Societ.'!E4</f>
        <v>46242.75</v>
      </c>
    </row>
    <row r="5" spans="2:4" x14ac:dyDescent="0.2">
      <c r="B5" t="str">
        <f>'Custos De Compra CNPJ - Societ.'!B22</f>
        <v>Taxa de registro na JUCERJA</v>
      </c>
      <c r="C5" s="2">
        <f>'Custos De Compra CNPJ - Societ.'!C22</f>
        <v>754</v>
      </c>
      <c r="D5" s="2">
        <f>'Custos De Compra CNPJ - Societ.'!E22</f>
        <v>3770</v>
      </c>
    </row>
    <row r="6" spans="2:4" x14ac:dyDescent="0.2">
      <c r="B6" t="str">
        <f>'Custos De Compra CNPJ - Societ.'!B25</f>
        <v>Públicação da ata de AGE (alteração estatutária) e Estatuto Social (ato registrado pelo Eduardo Duarte)</v>
      </c>
      <c r="C6" s="2">
        <f>'Custos De Compra CNPJ - Societ.'!C25</f>
        <v>28644</v>
      </c>
      <c r="D6" s="2">
        <f>'Custos De Compra CNPJ - Societ.'!E25</f>
        <v>143220</v>
      </c>
    </row>
    <row r="7" spans="2:4" x14ac:dyDescent="0.2">
      <c r="B7" t="s">
        <v>197</v>
      </c>
      <c r="C7" s="2">
        <f>'Custos para Abertura de Filiais'!C2</f>
        <v>4000</v>
      </c>
      <c r="D7" s="2">
        <f>C7*5</f>
        <v>20000</v>
      </c>
    </row>
    <row r="8" spans="2:4" x14ac:dyDescent="0.2">
      <c r="B8" t="s">
        <v>191</v>
      </c>
      <c r="C8" s="2">
        <f>'Custos para Abertura de Filiais'!C3</f>
        <v>3000</v>
      </c>
      <c r="D8" s="2">
        <f>C8*5</f>
        <v>15000</v>
      </c>
    </row>
    <row r="9" spans="2:4" s="3" customFormat="1" x14ac:dyDescent="0.2">
      <c r="B9" s="3" t="s">
        <v>184</v>
      </c>
      <c r="C9" s="19">
        <f>SUM(C4:C8)</f>
        <v>45646.55</v>
      </c>
      <c r="D9" s="19">
        <f>SUM(D4:D8)</f>
        <v>228232.75</v>
      </c>
    </row>
    <row r="11" spans="2:4" x14ac:dyDescent="0.2">
      <c r="B11" s="87" t="s">
        <v>196</v>
      </c>
      <c r="C11" t="s">
        <v>190</v>
      </c>
      <c r="D11" t="s">
        <v>189</v>
      </c>
    </row>
    <row r="12" spans="2:4" x14ac:dyDescent="0.2">
      <c r="B12" t="s">
        <v>171</v>
      </c>
      <c r="C12" s="2">
        <f>AVERAGE('Custos De Compra CNPJ - Societ.'!F35,'Custos De Compra CNPJ - Societ.'!F38,'Custos De Compra CNPJ - Societ.'!F41,'Custos De Compra CNPJ - Societ.'!F44,'Custos De Compra CNPJ - Societ.'!F47)</f>
        <v>7150</v>
      </c>
      <c r="D12" s="2">
        <f>'Custos De Compra CNPJ - Societ.'!F35+'Custos De Compra CNPJ - Societ.'!F38+'Custos De Compra CNPJ - Societ.'!F41+'Custos De Compra CNPJ - Societ.'!F44+'Custos De Compra CNPJ - Societ.'!F47</f>
        <v>35750</v>
      </c>
    </row>
    <row r="13" spans="2:4" x14ac:dyDescent="0.2">
      <c r="B13" t="s">
        <v>194</v>
      </c>
      <c r="C13" s="2">
        <f>AVERAGE('Custos De Compra CNPJ - Societ.'!F33,'Custos De Compra CNPJ - Societ.'!F36,'Custos De Compra CNPJ - Societ.'!F39,'Custos De Compra CNPJ - Societ.'!F42,'Custos De Compra CNPJ - Societ.'!F45)</f>
        <v>7992.4</v>
      </c>
      <c r="D13" s="2">
        <f>'Custos De Compra CNPJ - Societ.'!F33+'Custos De Compra CNPJ - Societ.'!F36+'Custos De Compra CNPJ - Societ.'!F39+'Custos De Compra CNPJ - Societ.'!F42+'Custos De Compra CNPJ - Societ.'!F45</f>
        <v>39962</v>
      </c>
    </row>
    <row r="14" spans="2:4" x14ac:dyDescent="0.2">
      <c r="B14" t="s">
        <v>193</v>
      </c>
      <c r="C14" s="2">
        <f>AVERAGE('Custos De Compra CNPJ - Societ.'!F34,'Custos De Compra CNPJ - Societ.'!F37,'Custos De Compra CNPJ - Societ.'!F40,'Custos De Compra CNPJ - Societ.'!F43,'Custos De Compra CNPJ - Societ.'!F46)</f>
        <v>6678</v>
      </c>
      <c r="D14" s="2">
        <f>'Custos De Compra CNPJ - Societ.'!F34+'Custos De Compra CNPJ - Societ.'!F37+'Custos De Compra CNPJ - Societ.'!F40+'Custos De Compra CNPJ - Societ.'!F43+'Custos De Compra CNPJ - Societ.'!F46</f>
        <v>33390</v>
      </c>
    </row>
    <row r="15" spans="2:4" x14ac:dyDescent="0.2">
      <c r="B15" t="s">
        <v>195</v>
      </c>
      <c r="C15" s="2">
        <f>AVERAGE('Custos para Abertura de Filiais'!G6:G38)</f>
        <v>46400</v>
      </c>
      <c r="D15" s="2">
        <f>'Custos para Abertura de Filiais'!G42-D7</f>
        <v>212000</v>
      </c>
    </row>
    <row r="16" spans="2:4" s="3" customFormat="1" x14ac:dyDescent="0.2">
      <c r="B16" s="3" t="s">
        <v>184</v>
      </c>
      <c r="C16" s="19">
        <f>SUM(C12:C15)</f>
        <v>68220.399999999994</v>
      </c>
      <c r="D16" s="19">
        <f>SUM(D12:D15)</f>
        <v>321102</v>
      </c>
    </row>
    <row r="18" spans="2:4" x14ac:dyDescent="0.2">
      <c r="B18" t="s">
        <v>192</v>
      </c>
      <c r="D18" s="19">
        <f>D9+D16</f>
        <v>549334.75</v>
      </c>
    </row>
    <row r="19" spans="2:4" x14ac:dyDescent="0.2">
      <c r="B19" s="28" t="s">
        <v>62</v>
      </c>
    </row>
    <row r="20" spans="2:4" x14ac:dyDescent="0.2">
      <c r="B20" s="28" t="s">
        <v>63</v>
      </c>
    </row>
    <row r="21" spans="2:4" x14ac:dyDescent="0.2">
      <c r="B21" s="28" t="s">
        <v>64</v>
      </c>
    </row>
    <row r="22" spans="2:4" x14ac:dyDescent="0.2">
      <c r="B22" s="28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2:G56"/>
  <sheetViews>
    <sheetView showGridLines="0" topLeftCell="A31" workbookViewId="0">
      <selection activeCell="F56" sqref="F56"/>
    </sheetView>
  </sheetViews>
  <sheetFormatPr baseColWidth="10" defaultColWidth="8.83203125" defaultRowHeight="15" x14ac:dyDescent="0.2"/>
  <cols>
    <col min="2" max="2" width="76.5" customWidth="1"/>
    <col min="3" max="3" width="13.33203125" bestFit="1" customWidth="1"/>
    <col min="4" max="5" width="14.5" customWidth="1"/>
    <col min="6" max="7" width="14.33203125" bestFit="1" customWidth="1"/>
  </cols>
  <sheetData>
    <row r="2" spans="1:6" x14ac:dyDescent="0.2">
      <c r="C2" s="61" t="s">
        <v>160</v>
      </c>
      <c r="D2" s="61" t="s">
        <v>161</v>
      </c>
      <c r="E2" s="61" t="s">
        <v>162</v>
      </c>
    </row>
    <row r="3" spans="1:6" ht="16" thickBot="1" x14ac:dyDescent="0.25">
      <c r="B3" s="63" t="s">
        <v>164</v>
      </c>
      <c r="C3" s="64">
        <v>8000</v>
      </c>
      <c r="D3" s="55"/>
      <c r="E3" s="55"/>
    </row>
    <row r="4" spans="1:6" x14ac:dyDescent="0.2">
      <c r="B4" s="1" t="s">
        <v>0</v>
      </c>
      <c r="C4" s="45">
        <v>9248.5499999999993</v>
      </c>
      <c r="D4">
        <v>5</v>
      </c>
      <c r="E4" s="62">
        <f>C4*D4</f>
        <v>46242.75</v>
      </c>
    </row>
    <row r="5" spans="1:6" x14ac:dyDescent="0.2">
      <c r="B5" s="1" t="s">
        <v>165</v>
      </c>
      <c r="C5" s="53" t="s">
        <v>159</v>
      </c>
      <c r="D5" s="2"/>
      <c r="E5" s="2"/>
      <c r="F5" s="2"/>
    </row>
    <row r="6" spans="1:6" x14ac:dyDescent="0.2">
      <c r="B6" s="1"/>
      <c r="F6" s="2"/>
    </row>
    <row r="7" spans="1:6" x14ac:dyDescent="0.2">
      <c r="B7" s="3" t="s">
        <v>1</v>
      </c>
    </row>
    <row r="8" spans="1:6" ht="51" customHeight="1" x14ac:dyDescent="0.2">
      <c r="A8" s="4"/>
      <c r="B8" s="88" t="s">
        <v>2</v>
      </c>
      <c r="C8" s="88"/>
      <c r="D8" s="88"/>
      <c r="E8" s="88"/>
      <c r="F8" s="88"/>
    </row>
    <row r="9" spans="1:6" ht="30" customHeight="1" x14ac:dyDescent="0.2">
      <c r="B9" s="88" t="s">
        <v>3</v>
      </c>
      <c r="C9" s="88"/>
      <c r="D9" s="88"/>
      <c r="E9" s="88"/>
      <c r="F9" s="88"/>
    </row>
    <row r="10" spans="1:6" x14ac:dyDescent="0.2">
      <c r="B10" s="5"/>
    </row>
    <row r="11" spans="1:6" x14ac:dyDescent="0.2">
      <c r="B11" s="3" t="s">
        <v>4</v>
      </c>
    </row>
    <row r="12" spans="1:6" x14ac:dyDescent="0.2">
      <c r="B12" s="89" t="s">
        <v>5</v>
      </c>
      <c r="C12" s="89"/>
      <c r="D12" s="89"/>
      <c r="E12" s="89"/>
      <c r="F12" s="89"/>
    </row>
    <row r="13" spans="1:6" ht="78.75" customHeight="1" x14ac:dyDescent="0.2">
      <c r="B13" s="88" t="s">
        <v>6</v>
      </c>
      <c r="C13" s="88"/>
      <c r="D13" s="88"/>
      <c r="E13" s="88"/>
      <c r="F13" s="88"/>
    </row>
    <row r="14" spans="1:6" ht="33" customHeight="1" x14ac:dyDescent="0.2">
      <c r="B14" s="88" t="s">
        <v>7</v>
      </c>
      <c r="C14" s="88"/>
      <c r="D14" s="88"/>
      <c r="E14" s="88"/>
      <c r="F14" s="88"/>
    </row>
    <row r="15" spans="1:6" ht="33.75" customHeight="1" x14ac:dyDescent="0.2">
      <c r="B15" s="88" t="s">
        <v>8</v>
      </c>
      <c r="C15" s="88"/>
      <c r="D15" s="88"/>
      <c r="E15" s="88"/>
      <c r="F15" s="88"/>
    </row>
    <row r="18" spans="2:7" x14ac:dyDescent="0.2">
      <c r="B18" s="6" t="s">
        <v>9</v>
      </c>
    </row>
    <row r="19" spans="2:7" x14ac:dyDescent="0.2">
      <c r="B19" s="60" t="s">
        <v>10</v>
      </c>
      <c r="C19" s="61" t="s">
        <v>160</v>
      </c>
      <c r="D19" s="61" t="s">
        <v>161</v>
      </c>
      <c r="E19" s="61" t="s">
        <v>162</v>
      </c>
    </row>
    <row r="20" spans="2:7" x14ac:dyDescent="0.2">
      <c r="B20" s="7" t="s">
        <v>11</v>
      </c>
      <c r="C20" s="8">
        <v>754</v>
      </c>
      <c r="D20">
        <v>5</v>
      </c>
      <c r="E20" s="56">
        <f>C20*D20</f>
        <v>3770</v>
      </c>
    </row>
    <row r="21" spans="2:7" ht="16" thickBot="1" x14ac:dyDescent="0.25">
      <c r="B21" s="9" t="s">
        <v>12</v>
      </c>
      <c r="C21" s="10">
        <v>0</v>
      </c>
      <c r="D21" s="55"/>
      <c r="E21" s="55"/>
    </row>
    <row r="22" spans="2:7" x14ac:dyDescent="0.2">
      <c r="B22" s="11" t="s">
        <v>13</v>
      </c>
      <c r="C22" s="12">
        <f>SUM(C20:C21)</f>
        <v>754</v>
      </c>
      <c r="D22">
        <v>5</v>
      </c>
      <c r="E22" s="2">
        <f>C22*D22</f>
        <v>3770</v>
      </c>
    </row>
    <row r="23" spans="2:7" x14ac:dyDescent="0.2">
      <c r="B23" s="7"/>
      <c r="C23" s="13"/>
    </row>
    <row r="24" spans="2:7" ht="16" thickBot="1" x14ac:dyDescent="0.25">
      <c r="B24" s="58"/>
      <c r="C24" s="59" t="s">
        <v>160</v>
      </c>
      <c r="D24" s="59" t="s">
        <v>161</v>
      </c>
      <c r="E24" s="59" t="s">
        <v>162</v>
      </c>
    </row>
    <row r="25" spans="2:7" s="39" customFormat="1" ht="32" x14ac:dyDescent="0.2">
      <c r="B25" s="54" t="s">
        <v>158</v>
      </c>
      <c r="C25" s="83">
        <v>28644</v>
      </c>
      <c r="D25" s="39">
        <v>5</v>
      </c>
      <c r="E25" s="56">
        <f>C25*D25</f>
        <v>143220</v>
      </c>
    </row>
    <row r="26" spans="2:7" x14ac:dyDescent="0.2">
      <c r="B26" s="7"/>
      <c r="C26" s="13"/>
    </row>
    <row r="27" spans="2:7" x14ac:dyDescent="0.2">
      <c r="B27" s="66" t="s">
        <v>163</v>
      </c>
      <c r="C27" s="67"/>
      <c r="D27" s="68"/>
      <c r="E27" s="69">
        <f>E25+E22+E4</f>
        <v>193232.75</v>
      </c>
    </row>
    <row r="28" spans="2:7" x14ac:dyDescent="0.2">
      <c r="B28" s="7" t="s">
        <v>167</v>
      </c>
      <c r="C28" s="13"/>
      <c r="E28" s="65">
        <v>50000</v>
      </c>
    </row>
    <row r="29" spans="2:7" x14ac:dyDescent="0.2">
      <c r="B29" s="78" t="s">
        <v>166</v>
      </c>
      <c r="C29" s="79"/>
      <c r="D29" s="80"/>
      <c r="E29" s="81">
        <f>E27-E28</f>
        <v>143232.75</v>
      </c>
      <c r="F29" s="82" t="s">
        <v>168</v>
      </c>
    </row>
    <row r="30" spans="2:7" x14ac:dyDescent="0.2">
      <c r="B30" s="7"/>
      <c r="C30" s="13"/>
    </row>
    <row r="31" spans="2:7" x14ac:dyDescent="0.2">
      <c r="B31" s="7"/>
      <c r="C31" s="13"/>
    </row>
    <row r="32" spans="2:7" s="39" customFormat="1" ht="49" thickBot="1" x14ac:dyDescent="0.25">
      <c r="B32" s="70" t="s">
        <v>169</v>
      </c>
      <c r="C32" s="71" t="s">
        <v>172</v>
      </c>
      <c r="D32" s="76" t="s">
        <v>160</v>
      </c>
      <c r="E32" s="77" t="s">
        <v>183</v>
      </c>
      <c r="F32" s="76" t="s">
        <v>162</v>
      </c>
      <c r="G32" s="77" t="s">
        <v>185</v>
      </c>
    </row>
    <row r="33" spans="2:7" x14ac:dyDescent="0.2">
      <c r="B33" t="s">
        <v>173</v>
      </c>
      <c r="C33" s="16">
        <v>1</v>
      </c>
      <c r="D33" s="13">
        <v>754</v>
      </c>
      <c r="E33">
        <f>8+7-1</f>
        <v>14</v>
      </c>
      <c r="F33" s="2">
        <f>D33*E33</f>
        <v>10556</v>
      </c>
      <c r="G33" s="90">
        <f>SUM(F33:F35)</f>
        <v>26526</v>
      </c>
    </row>
    <row r="34" spans="2:7" x14ac:dyDescent="0.2">
      <c r="B34" t="s">
        <v>176</v>
      </c>
      <c r="C34" s="16">
        <v>1</v>
      </c>
      <c r="D34" s="8">
        <v>630</v>
      </c>
      <c r="E34">
        <f>8+7-1</f>
        <v>14</v>
      </c>
      <c r="F34" s="2">
        <f t="shared" ref="F34:F47" si="0">D34*E34</f>
        <v>8820</v>
      </c>
      <c r="G34" s="91"/>
    </row>
    <row r="35" spans="2:7" ht="16" thickBot="1" x14ac:dyDescent="0.25">
      <c r="B35" s="55" t="s">
        <v>171</v>
      </c>
      <c r="C35" s="57">
        <v>1</v>
      </c>
      <c r="D35" s="10">
        <v>550</v>
      </c>
      <c r="E35" s="55">
        <v>13</v>
      </c>
      <c r="F35" s="74">
        <f t="shared" si="0"/>
        <v>7150</v>
      </c>
      <c r="G35" s="92"/>
    </row>
    <row r="36" spans="2:7" x14ac:dyDescent="0.2">
      <c r="B36" t="s">
        <v>174</v>
      </c>
      <c r="C36" s="16">
        <v>2</v>
      </c>
      <c r="D36" s="13">
        <v>754</v>
      </c>
      <c r="E36">
        <f>10+9-1</f>
        <v>18</v>
      </c>
      <c r="F36" s="2">
        <f t="shared" si="0"/>
        <v>13572</v>
      </c>
      <c r="G36" s="90">
        <f>SUM(F36:F38)</f>
        <v>32062</v>
      </c>
    </row>
    <row r="37" spans="2:7" x14ac:dyDescent="0.2">
      <c r="B37" t="s">
        <v>177</v>
      </c>
      <c r="C37" s="16">
        <v>2</v>
      </c>
      <c r="D37" s="13">
        <v>630</v>
      </c>
      <c r="E37">
        <f>10+9-1</f>
        <v>18</v>
      </c>
      <c r="F37" s="2">
        <f t="shared" si="0"/>
        <v>11340</v>
      </c>
      <c r="G37" s="91"/>
    </row>
    <row r="38" spans="2:7" ht="16" thickBot="1" x14ac:dyDescent="0.25">
      <c r="B38" s="55" t="s">
        <v>170</v>
      </c>
      <c r="C38" s="57">
        <v>2</v>
      </c>
      <c r="D38" s="10">
        <v>550</v>
      </c>
      <c r="E38" s="55">
        <v>13</v>
      </c>
      <c r="F38" s="74">
        <f t="shared" si="0"/>
        <v>7150</v>
      </c>
      <c r="G38" s="92"/>
    </row>
    <row r="39" spans="2:7" ht="16" x14ac:dyDescent="0.2">
      <c r="B39" s="72" t="s">
        <v>180</v>
      </c>
      <c r="C39" s="16">
        <v>3</v>
      </c>
      <c r="D39" s="13">
        <v>754</v>
      </c>
      <c r="E39">
        <f>4+3-1</f>
        <v>6</v>
      </c>
      <c r="F39" s="2">
        <f t="shared" si="0"/>
        <v>4524</v>
      </c>
      <c r="G39" s="90">
        <f>SUM(F39:F41)</f>
        <v>15454</v>
      </c>
    </row>
    <row r="40" spans="2:7" ht="16" x14ac:dyDescent="0.2">
      <c r="B40" s="72" t="s">
        <v>175</v>
      </c>
      <c r="C40" s="16">
        <v>3</v>
      </c>
      <c r="D40" s="13">
        <v>630</v>
      </c>
      <c r="E40">
        <f>4+3-1</f>
        <v>6</v>
      </c>
      <c r="F40" s="2">
        <f t="shared" si="0"/>
        <v>3780</v>
      </c>
      <c r="G40" s="91"/>
    </row>
    <row r="41" spans="2:7" ht="17" thickBot="1" x14ac:dyDescent="0.25">
      <c r="B41" s="73" t="s">
        <v>170</v>
      </c>
      <c r="C41" s="57">
        <v>3</v>
      </c>
      <c r="D41" s="10">
        <v>550</v>
      </c>
      <c r="E41" s="55">
        <v>13</v>
      </c>
      <c r="F41" s="74">
        <f t="shared" si="0"/>
        <v>7150</v>
      </c>
      <c r="G41" s="92"/>
    </row>
    <row r="42" spans="2:7" ht="16" x14ac:dyDescent="0.2">
      <c r="B42" s="72" t="s">
        <v>179</v>
      </c>
      <c r="C42" s="16">
        <v>4</v>
      </c>
      <c r="D42" s="13">
        <v>754</v>
      </c>
      <c r="E42">
        <f>6+5-1</f>
        <v>10</v>
      </c>
      <c r="F42" s="2">
        <f t="shared" si="0"/>
        <v>7540</v>
      </c>
      <c r="G42" s="90">
        <f>SUM(F42:F44)</f>
        <v>20990</v>
      </c>
    </row>
    <row r="43" spans="2:7" ht="16" x14ac:dyDescent="0.2">
      <c r="B43" s="72" t="s">
        <v>178</v>
      </c>
      <c r="C43" s="16">
        <v>4</v>
      </c>
      <c r="D43" s="13">
        <v>630</v>
      </c>
      <c r="E43">
        <f>6+5-1</f>
        <v>10</v>
      </c>
      <c r="F43" s="2">
        <f t="shared" si="0"/>
        <v>6300</v>
      </c>
      <c r="G43" s="91"/>
    </row>
    <row r="44" spans="2:7" ht="17" thickBot="1" x14ac:dyDescent="0.25">
      <c r="B44" s="73" t="s">
        <v>170</v>
      </c>
      <c r="C44" s="57">
        <v>4</v>
      </c>
      <c r="D44" s="10">
        <v>550</v>
      </c>
      <c r="E44" s="55">
        <v>13</v>
      </c>
      <c r="F44" s="74">
        <f t="shared" si="0"/>
        <v>7150</v>
      </c>
      <c r="G44" s="92"/>
    </row>
    <row r="45" spans="2:7" ht="16" x14ac:dyDescent="0.2">
      <c r="B45" s="72" t="s">
        <v>181</v>
      </c>
      <c r="C45" s="16">
        <v>5</v>
      </c>
      <c r="D45" s="13">
        <v>754</v>
      </c>
      <c r="E45">
        <f>3+3-1</f>
        <v>5</v>
      </c>
      <c r="F45" s="2">
        <f t="shared" si="0"/>
        <v>3770</v>
      </c>
      <c r="G45" s="90">
        <f>SUM(F45:F47)</f>
        <v>14070</v>
      </c>
    </row>
    <row r="46" spans="2:7" ht="16" x14ac:dyDescent="0.2">
      <c r="B46" s="72" t="s">
        <v>182</v>
      </c>
      <c r="C46" s="16">
        <v>5</v>
      </c>
      <c r="D46" s="8">
        <v>630</v>
      </c>
      <c r="E46">
        <f>3+3-1</f>
        <v>5</v>
      </c>
      <c r="F46" s="2">
        <f t="shared" si="0"/>
        <v>3150</v>
      </c>
      <c r="G46" s="91"/>
    </row>
    <row r="47" spans="2:7" ht="17" thickBot="1" x14ac:dyDescent="0.25">
      <c r="B47" s="73" t="s">
        <v>170</v>
      </c>
      <c r="C47" s="57">
        <v>5</v>
      </c>
      <c r="D47" s="10">
        <v>550</v>
      </c>
      <c r="E47" s="55">
        <v>13</v>
      </c>
      <c r="F47" s="74">
        <f t="shared" si="0"/>
        <v>7150</v>
      </c>
      <c r="G47" s="92"/>
    </row>
    <row r="48" spans="2:7" x14ac:dyDescent="0.2">
      <c r="B48" s="75" t="s">
        <v>184</v>
      </c>
      <c r="F48" s="14">
        <f>SUM(F33:F47)</f>
        <v>109102</v>
      </c>
      <c r="G48" s="2">
        <f>SUM(G33:G47)</f>
        <v>109102</v>
      </c>
    </row>
    <row r="50" spans="2:7" x14ac:dyDescent="0.2">
      <c r="B50" s="78" t="s">
        <v>166</v>
      </c>
      <c r="C50" s="79"/>
      <c r="D50" s="80"/>
      <c r="E50" s="80"/>
      <c r="F50" s="81">
        <f>F48</f>
        <v>109102</v>
      </c>
      <c r="G50" s="82" t="s">
        <v>186</v>
      </c>
    </row>
    <row r="53" spans="2:7" x14ac:dyDescent="0.2">
      <c r="B53" s="84" t="s">
        <v>187</v>
      </c>
      <c r="C53" s="84"/>
      <c r="D53" s="84"/>
      <c r="E53" s="84"/>
      <c r="F53" s="14">
        <f>F50+E29</f>
        <v>252334.75</v>
      </c>
    </row>
    <row r="55" spans="2:7" x14ac:dyDescent="0.2">
      <c r="F55" s="2">
        <f>F53+E28</f>
        <v>302334.75</v>
      </c>
      <c r="G55" s="2"/>
    </row>
    <row r="56" spans="2:7" x14ac:dyDescent="0.2">
      <c r="F56" s="2">
        <f>F55+'Custos para Abertura de Filiais'!K42</f>
        <v>549334.75</v>
      </c>
    </row>
  </sheetData>
  <mergeCells count="11">
    <mergeCell ref="G45:G47"/>
    <mergeCell ref="B15:F15"/>
    <mergeCell ref="G33:G35"/>
    <mergeCell ref="G36:G38"/>
    <mergeCell ref="G39:G41"/>
    <mergeCell ref="G42:G44"/>
    <mergeCell ref="B8:F8"/>
    <mergeCell ref="B9:F9"/>
    <mergeCell ref="B12:F12"/>
    <mergeCell ref="B13:F13"/>
    <mergeCell ref="B14:F1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2:K57"/>
  <sheetViews>
    <sheetView topLeftCell="A3" workbookViewId="0">
      <selection activeCell="G42" sqref="G42"/>
    </sheetView>
  </sheetViews>
  <sheetFormatPr baseColWidth="10" defaultColWidth="8.83203125" defaultRowHeight="15" outlineLevelRow="1" outlineLevelCol="1" x14ac:dyDescent="0.2"/>
  <cols>
    <col min="2" max="2" width="66.6640625" customWidth="1"/>
    <col min="3" max="3" width="12.6640625" customWidth="1"/>
    <col min="4" max="4" width="8.5" style="16" hidden="1" customWidth="1" outlineLevel="1"/>
    <col min="5" max="5" width="15.83203125" style="16" customWidth="1" outlineLevel="1"/>
    <col min="6" max="6" width="12.6640625" style="16" customWidth="1" outlineLevel="1"/>
    <col min="7" max="7" width="13.83203125" style="16" customWidth="1"/>
    <col min="8" max="9" width="14.33203125" style="16" hidden="1" customWidth="1" outlineLevel="1"/>
    <col min="10" max="10" width="13.6640625" customWidth="1" collapsed="1"/>
    <col min="11" max="11" width="14.33203125" bestFit="1" customWidth="1"/>
  </cols>
  <sheetData>
    <row r="2" spans="2:10" x14ac:dyDescent="0.2">
      <c r="B2" s="15" t="s">
        <v>14</v>
      </c>
      <c r="C2" s="13">
        <v>4000</v>
      </c>
    </row>
    <row r="3" spans="2:10" x14ac:dyDescent="0.2">
      <c r="B3" s="3" t="s">
        <v>15</v>
      </c>
      <c r="C3" s="13">
        <v>3000</v>
      </c>
    </row>
    <row r="5" spans="2:10" ht="48" x14ac:dyDescent="0.2">
      <c r="B5" s="46"/>
      <c r="C5" s="47" t="s">
        <v>16</v>
      </c>
      <c r="D5" s="48" t="s">
        <v>17</v>
      </c>
      <c r="E5" s="49" t="s">
        <v>18</v>
      </c>
      <c r="F5" s="51" t="s">
        <v>19</v>
      </c>
      <c r="G5" s="47" t="s">
        <v>20</v>
      </c>
      <c r="H5" s="50" t="s">
        <v>21</v>
      </c>
      <c r="I5" s="52" t="s">
        <v>22</v>
      </c>
      <c r="J5" s="47" t="s">
        <v>23</v>
      </c>
    </row>
    <row r="6" spans="2:10" x14ac:dyDescent="0.2">
      <c r="B6" s="3" t="s">
        <v>24</v>
      </c>
      <c r="C6" s="17">
        <v>15</v>
      </c>
      <c r="D6" s="17">
        <v>1</v>
      </c>
      <c r="E6" s="17">
        <v>8</v>
      </c>
      <c r="F6" s="17">
        <v>7</v>
      </c>
      <c r="G6" s="18">
        <f>C6*$C$2</f>
        <v>60000</v>
      </c>
      <c r="H6" s="18">
        <f>E6*$C$2</f>
        <v>32000</v>
      </c>
      <c r="I6" s="18">
        <f>F6*$C$2</f>
        <v>28000</v>
      </c>
      <c r="J6" s="19">
        <f>$C$3</f>
        <v>3000</v>
      </c>
    </row>
    <row r="7" spans="2:10" ht="15.75" hidden="1" customHeight="1" outlineLevel="1" x14ac:dyDescent="0.2">
      <c r="B7" t="s">
        <v>25</v>
      </c>
      <c r="C7" s="16">
        <v>2</v>
      </c>
      <c r="E7" s="16">
        <v>1</v>
      </c>
      <c r="F7" s="16">
        <v>1</v>
      </c>
      <c r="G7" s="17"/>
      <c r="H7" s="17"/>
      <c r="I7" s="17"/>
      <c r="J7" s="3"/>
    </row>
    <row r="8" spans="2:10" hidden="1" outlineLevel="1" x14ac:dyDescent="0.2">
      <c r="B8" t="s">
        <v>26</v>
      </c>
      <c r="C8" s="16">
        <v>2</v>
      </c>
      <c r="E8" s="16">
        <v>1</v>
      </c>
      <c r="F8" s="16">
        <v>1</v>
      </c>
      <c r="G8" s="17"/>
      <c r="H8" s="17"/>
      <c r="I8" s="17"/>
      <c r="J8" s="3"/>
    </row>
    <row r="9" spans="2:10" hidden="1" outlineLevel="1" x14ac:dyDescent="0.2">
      <c r="B9" t="s">
        <v>27</v>
      </c>
      <c r="C9" s="16">
        <v>2</v>
      </c>
      <c r="E9" s="16">
        <v>1</v>
      </c>
      <c r="F9" s="16">
        <v>1</v>
      </c>
      <c r="G9" s="17"/>
      <c r="H9" s="17"/>
      <c r="I9" s="17"/>
      <c r="J9" s="3"/>
    </row>
    <row r="10" spans="2:10" hidden="1" outlineLevel="1" x14ac:dyDescent="0.2">
      <c r="B10" t="s">
        <v>28</v>
      </c>
      <c r="C10" s="16">
        <v>2</v>
      </c>
      <c r="E10" s="16">
        <v>1</v>
      </c>
      <c r="F10" s="16">
        <v>1</v>
      </c>
      <c r="G10" s="17"/>
      <c r="H10" s="17"/>
      <c r="I10" s="17"/>
      <c r="J10" s="3"/>
    </row>
    <row r="11" spans="2:10" hidden="1" outlineLevel="1" x14ac:dyDescent="0.2">
      <c r="B11" t="s">
        <v>29</v>
      </c>
      <c r="C11" s="16">
        <v>1</v>
      </c>
      <c r="D11" s="16">
        <v>1</v>
      </c>
      <c r="E11" s="16">
        <v>1</v>
      </c>
      <c r="F11" s="16">
        <v>0</v>
      </c>
      <c r="G11" s="17"/>
      <c r="H11" s="17"/>
      <c r="I11" s="17"/>
      <c r="J11" s="3"/>
    </row>
    <row r="12" spans="2:10" hidden="1" outlineLevel="1" x14ac:dyDescent="0.2">
      <c r="B12" t="s">
        <v>30</v>
      </c>
      <c r="C12" s="16">
        <v>2</v>
      </c>
      <c r="E12" s="16">
        <v>1</v>
      </c>
      <c r="F12" s="16">
        <v>1</v>
      </c>
      <c r="G12" s="17"/>
      <c r="H12" s="17"/>
      <c r="I12" s="17"/>
      <c r="J12" s="3"/>
    </row>
    <row r="13" spans="2:10" hidden="1" outlineLevel="1" x14ac:dyDescent="0.2">
      <c r="B13" t="s">
        <v>31</v>
      </c>
      <c r="C13" s="16">
        <v>2</v>
      </c>
      <c r="E13" s="16">
        <v>1</v>
      </c>
      <c r="F13" s="16">
        <v>1</v>
      </c>
      <c r="G13" s="17"/>
      <c r="H13" s="17"/>
      <c r="I13" s="17"/>
      <c r="J13" s="3"/>
    </row>
    <row r="14" spans="2:10" hidden="1" outlineLevel="1" x14ac:dyDescent="0.2">
      <c r="B14" t="s">
        <v>32</v>
      </c>
      <c r="C14" s="16">
        <v>2</v>
      </c>
      <c r="E14" s="16">
        <v>1</v>
      </c>
      <c r="F14" s="16">
        <v>1</v>
      </c>
      <c r="G14" s="17"/>
      <c r="H14" s="17"/>
      <c r="I14" s="17"/>
      <c r="J14" s="3"/>
    </row>
    <row r="15" spans="2:10" collapsed="1" x14ac:dyDescent="0.2">
      <c r="B15" s="3" t="s">
        <v>33</v>
      </c>
      <c r="C15" s="17">
        <v>19</v>
      </c>
      <c r="D15" s="17">
        <v>1</v>
      </c>
      <c r="E15" s="17">
        <v>10</v>
      </c>
      <c r="F15" s="17">
        <v>9</v>
      </c>
      <c r="G15" s="18">
        <f>C15*$C$2</f>
        <v>76000</v>
      </c>
      <c r="H15" s="18">
        <f>E15*$C$2</f>
        <v>40000</v>
      </c>
      <c r="I15" s="18">
        <f>F15*$C$2</f>
        <v>36000</v>
      </c>
      <c r="J15" s="19">
        <f>$C$3</f>
        <v>3000</v>
      </c>
    </row>
    <row r="16" spans="2:10" hidden="1" outlineLevel="1" x14ac:dyDescent="0.2">
      <c r="B16" t="s">
        <v>34</v>
      </c>
      <c r="C16" s="16">
        <v>2</v>
      </c>
      <c r="E16" s="16">
        <v>1</v>
      </c>
      <c r="F16" s="16">
        <v>1</v>
      </c>
      <c r="G16" s="17"/>
      <c r="H16" s="17"/>
      <c r="I16" s="17"/>
      <c r="J16" s="3"/>
    </row>
    <row r="17" spans="2:10" hidden="1" outlineLevel="1" x14ac:dyDescent="0.2">
      <c r="B17" t="s">
        <v>35</v>
      </c>
      <c r="C17" s="16">
        <v>2</v>
      </c>
      <c r="E17" s="16">
        <v>1</v>
      </c>
      <c r="F17" s="16">
        <v>1</v>
      </c>
      <c r="G17" s="17"/>
      <c r="H17" s="17"/>
      <c r="I17" s="17"/>
      <c r="J17" s="3"/>
    </row>
    <row r="18" spans="2:10" hidden="1" outlineLevel="1" x14ac:dyDescent="0.2">
      <c r="B18" t="s">
        <v>36</v>
      </c>
      <c r="C18" s="16">
        <v>2</v>
      </c>
      <c r="E18" s="16">
        <v>1</v>
      </c>
      <c r="F18" s="16">
        <v>1</v>
      </c>
      <c r="G18" s="17"/>
      <c r="H18" s="17"/>
      <c r="I18" s="17"/>
      <c r="J18" s="3"/>
    </row>
    <row r="19" spans="2:10" hidden="1" outlineLevel="1" x14ac:dyDescent="0.2">
      <c r="B19" t="s">
        <v>37</v>
      </c>
      <c r="C19" s="16">
        <v>2</v>
      </c>
      <c r="E19" s="16">
        <v>1</v>
      </c>
      <c r="F19" s="16">
        <v>1</v>
      </c>
      <c r="G19" s="17"/>
      <c r="H19" s="17"/>
      <c r="I19" s="17"/>
      <c r="J19" s="3"/>
    </row>
    <row r="20" spans="2:10" hidden="1" outlineLevel="1" x14ac:dyDescent="0.2">
      <c r="B20" t="s">
        <v>38</v>
      </c>
      <c r="C20" s="16">
        <v>2</v>
      </c>
      <c r="E20" s="16">
        <v>1</v>
      </c>
      <c r="F20" s="16">
        <v>1</v>
      </c>
      <c r="G20" s="17"/>
      <c r="H20" s="17"/>
      <c r="I20" s="17"/>
      <c r="J20" s="3"/>
    </row>
    <row r="21" spans="2:10" hidden="1" outlineLevel="1" x14ac:dyDescent="0.2">
      <c r="B21" t="s">
        <v>39</v>
      </c>
      <c r="C21" s="16">
        <v>2</v>
      </c>
      <c r="E21" s="16">
        <v>1</v>
      </c>
      <c r="F21" s="16">
        <v>1</v>
      </c>
      <c r="G21" s="17"/>
      <c r="H21" s="17"/>
      <c r="I21" s="17"/>
      <c r="J21" s="3"/>
    </row>
    <row r="22" spans="2:10" hidden="1" outlineLevel="1" x14ac:dyDescent="0.2">
      <c r="B22" t="s">
        <v>40</v>
      </c>
      <c r="C22" s="16">
        <v>2</v>
      </c>
      <c r="E22" s="16">
        <v>1</v>
      </c>
      <c r="F22" s="16">
        <v>1</v>
      </c>
      <c r="G22" s="17"/>
      <c r="H22" s="17"/>
      <c r="I22" s="17"/>
      <c r="J22" s="3"/>
    </row>
    <row r="23" spans="2:10" hidden="1" outlineLevel="1" x14ac:dyDescent="0.2">
      <c r="B23" t="s">
        <v>29</v>
      </c>
      <c r="C23" s="16">
        <v>1</v>
      </c>
      <c r="D23" s="16">
        <v>1</v>
      </c>
      <c r="E23" s="16">
        <v>1</v>
      </c>
      <c r="F23" s="16">
        <v>0</v>
      </c>
      <c r="G23" s="17"/>
      <c r="H23" s="17"/>
      <c r="I23" s="17"/>
      <c r="J23" s="3"/>
    </row>
    <row r="24" spans="2:10" hidden="1" outlineLevel="1" x14ac:dyDescent="0.2">
      <c r="B24" t="s">
        <v>41</v>
      </c>
      <c r="C24" s="16">
        <v>2</v>
      </c>
      <c r="E24" s="16">
        <v>1</v>
      </c>
      <c r="F24" s="16">
        <v>1</v>
      </c>
      <c r="G24" s="17"/>
      <c r="H24" s="17"/>
      <c r="I24" s="17"/>
      <c r="J24" s="3"/>
    </row>
    <row r="25" spans="2:10" hidden="1" outlineLevel="1" x14ac:dyDescent="0.2">
      <c r="B25" t="s">
        <v>42</v>
      </c>
      <c r="C25" s="16">
        <v>2</v>
      </c>
      <c r="E25" s="16">
        <v>1</v>
      </c>
      <c r="F25" s="16">
        <v>1</v>
      </c>
      <c r="G25" s="17"/>
      <c r="H25" s="17"/>
      <c r="I25" s="17"/>
      <c r="J25" s="3"/>
    </row>
    <row r="26" spans="2:10" collapsed="1" x14ac:dyDescent="0.2">
      <c r="B26" s="3" t="s">
        <v>43</v>
      </c>
      <c r="C26" s="17">
        <v>7</v>
      </c>
      <c r="D26" s="17">
        <v>1</v>
      </c>
      <c r="E26" s="17">
        <v>4</v>
      </c>
      <c r="F26" s="17">
        <v>3</v>
      </c>
      <c r="G26" s="18">
        <f>C26*$C$2</f>
        <v>28000</v>
      </c>
      <c r="H26" s="18">
        <f>E26*$C$2</f>
        <v>16000</v>
      </c>
      <c r="I26" s="18">
        <f>F26*$C$2</f>
        <v>12000</v>
      </c>
      <c r="J26" s="19">
        <f>$C$3</f>
        <v>3000</v>
      </c>
    </row>
    <row r="27" spans="2:10" hidden="1" outlineLevel="1" x14ac:dyDescent="0.2">
      <c r="B27" t="s">
        <v>44</v>
      </c>
      <c r="C27" s="16">
        <v>2</v>
      </c>
      <c r="E27" s="16">
        <v>1</v>
      </c>
      <c r="F27" s="16">
        <v>1</v>
      </c>
      <c r="G27" s="17"/>
      <c r="H27" s="17"/>
      <c r="I27" s="17"/>
      <c r="J27" s="3"/>
    </row>
    <row r="28" spans="2:10" hidden="1" outlineLevel="1" x14ac:dyDescent="0.2">
      <c r="B28" t="s">
        <v>29</v>
      </c>
      <c r="C28" s="16">
        <v>1</v>
      </c>
      <c r="D28" s="16">
        <v>1</v>
      </c>
      <c r="E28" s="16">
        <v>1</v>
      </c>
      <c r="F28" s="16">
        <v>0</v>
      </c>
      <c r="G28" s="17"/>
      <c r="H28" s="17"/>
      <c r="I28" s="17"/>
      <c r="J28" s="3"/>
    </row>
    <row r="29" spans="2:10" hidden="1" outlineLevel="1" x14ac:dyDescent="0.2">
      <c r="B29" t="s">
        <v>45</v>
      </c>
      <c r="C29" s="16">
        <v>2</v>
      </c>
      <c r="E29" s="16">
        <v>1</v>
      </c>
      <c r="F29" s="16">
        <v>1</v>
      </c>
      <c r="G29" s="17"/>
      <c r="H29" s="17"/>
      <c r="I29" s="17"/>
      <c r="J29" s="3"/>
    </row>
    <row r="30" spans="2:10" hidden="1" outlineLevel="1" x14ac:dyDescent="0.2">
      <c r="B30" t="s">
        <v>46</v>
      </c>
      <c r="C30" s="16">
        <v>2</v>
      </c>
      <c r="E30" s="16">
        <v>1</v>
      </c>
      <c r="F30" s="16">
        <v>1</v>
      </c>
      <c r="G30" s="17"/>
      <c r="H30" s="17"/>
      <c r="I30" s="17"/>
      <c r="J30" s="3"/>
    </row>
    <row r="31" spans="2:10" collapsed="1" x14ac:dyDescent="0.2">
      <c r="B31" s="3" t="s">
        <v>47</v>
      </c>
      <c r="C31" s="17">
        <v>11</v>
      </c>
      <c r="D31" s="17">
        <v>1</v>
      </c>
      <c r="E31" s="17">
        <v>6</v>
      </c>
      <c r="F31" s="17">
        <v>5</v>
      </c>
      <c r="G31" s="18">
        <f>C31*$C$2</f>
        <v>44000</v>
      </c>
      <c r="H31" s="18">
        <f>E31*$C$2</f>
        <v>24000</v>
      </c>
      <c r="I31" s="18">
        <f>F31*$C$2</f>
        <v>20000</v>
      </c>
      <c r="J31" s="19">
        <f>$C$3</f>
        <v>3000</v>
      </c>
    </row>
    <row r="32" spans="2:10" hidden="1" outlineLevel="1" x14ac:dyDescent="0.2">
      <c r="B32" t="s">
        <v>48</v>
      </c>
      <c r="C32" s="16">
        <v>2</v>
      </c>
      <c r="E32" s="16">
        <v>1</v>
      </c>
      <c r="F32" s="16">
        <v>1</v>
      </c>
      <c r="G32" s="17"/>
      <c r="H32" s="17"/>
      <c r="I32" s="17"/>
      <c r="J32" s="3"/>
    </row>
    <row r="33" spans="2:11" hidden="1" outlineLevel="1" x14ac:dyDescent="0.2">
      <c r="B33" t="s">
        <v>49</v>
      </c>
      <c r="C33" s="16">
        <v>2</v>
      </c>
      <c r="E33" s="16">
        <v>1</v>
      </c>
      <c r="F33" s="16">
        <v>1</v>
      </c>
      <c r="G33" s="17"/>
      <c r="H33" s="17"/>
      <c r="I33" s="17"/>
      <c r="J33" s="3"/>
    </row>
    <row r="34" spans="2:11" hidden="1" outlineLevel="1" x14ac:dyDescent="0.2">
      <c r="B34" t="s">
        <v>50</v>
      </c>
      <c r="C34" s="16">
        <v>2</v>
      </c>
      <c r="E34" s="16">
        <v>1</v>
      </c>
      <c r="F34" s="16">
        <v>1</v>
      </c>
      <c r="G34" s="17"/>
      <c r="H34" s="17"/>
      <c r="I34" s="17"/>
      <c r="J34" s="3"/>
    </row>
    <row r="35" spans="2:11" hidden="1" outlineLevel="1" x14ac:dyDescent="0.2">
      <c r="B35" t="s">
        <v>51</v>
      </c>
      <c r="C35" s="16">
        <v>2</v>
      </c>
      <c r="E35" s="16">
        <v>1</v>
      </c>
      <c r="F35" s="16">
        <v>1</v>
      </c>
      <c r="G35" s="17"/>
      <c r="H35" s="17"/>
      <c r="I35" s="17"/>
      <c r="J35" s="3"/>
    </row>
    <row r="36" spans="2:11" hidden="1" outlineLevel="1" x14ac:dyDescent="0.2">
      <c r="B36" t="s">
        <v>52</v>
      </c>
      <c r="C36" s="16">
        <v>2</v>
      </c>
      <c r="E36" s="16">
        <v>1</v>
      </c>
      <c r="F36" s="16">
        <v>1</v>
      </c>
      <c r="G36" s="17"/>
      <c r="H36" s="17"/>
      <c r="I36" s="17"/>
      <c r="J36" s="3"/>
    </row>
    <row r="37" spans="2:11" hidden="1" outlineLevel="1" x14ac:dyDescent="0.2">
      <c r="B37" t="s">
        <v>29</v>
      </c>
      <c r="C37" s="16">
        <v>1</v>
      </c>
      <c r="D37" s="16">
        <v>1</v>
      </c>
      <c r="E37" s="16">
        <v>1</v>
      </c>
      <c r="F37" s="16">
        <v>0</v>
      </c>
      <c r="G37" s="17"/>
      <c r="H37" s="17"/>
      <c r="I37" s="17"/>
      <c r="J37" s="3"/>
    </row>
    <row r="38" spans="2:11" ht="16" collapsed="1" thickBot="1" x14ac:dyDescent="0.25">
      <c r="B38" s="20" t="s">
        <v>53</v>
      </c>
      <c r="C38" s="21">
        <v>6</v>
      </c>
      <c r="D38" s="21">
        <v>1</v>
      </c>
      <c r="E38" s="21">
        <v>3</v>
      </c>
      <c r="F38" s="21">
        <v>3</v>
      </c>
      <c r="G38" s="22">
        <f>C38*$C$2</f>
        <v>24000</v>
      </c>
      <c r="H38" s="22">
        <f>E38*$C$2</f>
        <v>12000</v>
      </c>
      <c r="I38" s="22">
        <f>F38*$C$2</f>
        <v>12000</v>
      </c>
      <c r="J38" s="23">
        <f>$C$3</f>
        <v>3000</v>
      </c>
    </row>
    <row r="39" spans="2:11" hidden="1" outlineLevel="1" x14ac:dyDescent="0.2">
      <c r="B39" t="s">
        <v>54</v>
      </c>
      <c r="C39" s="16">
        <v>2</v>
      </c>
      <c r="E39" s="16">
        <v>1</v>
      </c>
      <c r="F39" s="16">
        <v>1</v>
      </c>
      <c r="G39" s="17"/>
      <c r="H39" s="17"/>
      <c r="I39" s="17"/>
      <c r="J39" s="3"/>
    </row>
    <row r="40" spans="2:11" hidden="1" outlineLevel="1" x14ac:dyDescent="0.2">
      <c r="B40" t="s">
        <v>29</v>
      </c>
      <c r="C40" s="16">
        <v>2</v>
      </c>
      <c r="D40" s="16">
        <v>1</v>
      </c>
      <c r="E40" s="16">
        <v>1</v>
      </c>
      <c r="F40" s="16">
        <v>1</v>
      </c>
      <c r="G40" s="17"/>
      <c r="H40" s="17"/>
      <c r="I40" s="17"/>
      <c r="J40" s="3"/>
    </row>
    <row r="41" spans="2:11" hidden="1" outlineLevel="1" x14ac:dyDescent="0.2">
      <c r="B41" t="s">
        <v>55</v>
      </c>
      <c r="C41" s="16">
        <v>2</v>
      </c>
      <c r="E41" s="16">
        <v>1</v>
      </c>
      <c r="F41" s="16">
        <v>1</v>
      </c>
      <c r="G41" s="17"/>
      <c r="H41" s="17"/>
      <c r="I41" s="17"/>
      <c r="J41" s="3"/>
    </row>
    <row r="42" spans="2:11" collapsed="1" x14ac:dyDescent="0.2">
      <c r="B42" s="3" t="s">
        <v>56</v>
      </c>
      <c r="C42" s="17">
        <v>58</v>
      </c>
      <c r="D42" s="17">
        <v>5</v>
      </c>
      <c r="E42" s="17">
        <v>31</v>
      </c>
      <c r="F42" s="17">
        <v>27</v>
      </c>
      <c r="G42" s="85">
        <f>C42*$C$2</f>
        <v>232000</v>
      </c>
      <c r="H42" s="18">
        <f>E42*$C$2</f>
        <v>124000</v>
      </c>
      <c r="I42" s="18">
        <f>F42*$C$2</f>
        <v>108000</v>
      </c>
      <c r="J42" s="86">
        <f>SUM(J6,J15,J26,J31,J38)</f>
        <v>15000</v>
      </c>
      <c r="K42" s="2">
        <f>G42+J42</f>
        <v>247000</v>
      </c>
    </row>
    <row r="44" spans="2:11" x14ac:dyDescent="0.2">
      <c r="B44" s="3" t="s">
        <v>57</v>
      </c>
    </row>
    <row r="45" spans="2:11" x14ac:dyDescent="0.2">
      <c r="B45" t="s">
        <v>139</v>
      </c>
    </row>
    <row r="46" spans="2:11" x14ac:dyDescent="0.2">
      <c r="B46" t="s">
        <v>58</v>
      </c>
    </row>
    <row r="47" spans="2:11" x14ac:dyDescent="0.2">
      <c r="B47" s="24" t="s">
        <v>59</v>
      </c>
    </row>
    <row r="48" spans="2:11" ht="16" x14ac:dyDescent="0.2">
      <c r="B48" s="25" t="s">
        <v>60</v>
      </c>
    </row>
    <row r="49" spans="1:10" x14ac:dyDescent="0.2">
      <c r="B49" s="24" t="s">
        <v>157</v>
      </c>
    </row>
    <row r="50" spans="1:10" s="16" customFormat="1" x14ac:dyDescent="0.2">
      <c r="A50"/>
      <c r="B50" s="26"/>
      <c r="C50"/>
      <c r="J50"/>
    </row>
    <row r="51" spans="1:10" s="16" customFormat="1" x14ac:dyDescent="0.2">
      <c r="A51"/>
      <c r="B51" s="3" t="s">
        <v>61</v>
      </c>
      <c r="C51"/>
      <c r="J51"/>
    </row>
    <row r="52" spans="1:10" s="16" customFormat="1" x14ac:dyDescent="0.2">
      <c r="A52" s="27">
        <v>6</v>
      </c>
      <c r="B52" s="28" t="s">
        <v>62</v>
      </c>
      <c r="C52"/>
      <c r="J52"/>
    </row>
    <row r="53" spans="1:10" s="16" customFormat="1" x14ac:dyDescent="0.2">
      <c r="A53" s="27">
        <v>14</v>
      </c>
      <c r="B53" s="28" t="s">
        <v>63</v>
      </c>
      <c r="C53"/>
      <c r="J53"/>
    </row>
    <row r="54" spans="1:10" s="16" customFormat="1" x14ac:dyDescent="0.2">
      <c r="A54" s="27">
        <v>16</v>
      </c>
      <c r="B54" s="28" t="s">
        <v>64</v>
      </c>
      <c r="C54"/>
      <c r="J54"/>
    </row>
    <row r="55" spans="1:10" s="16" customFormat="1" x14ac:dyDescent="0.2">
      <c r="A55" s="27">
        <v>19</v>
      </c>
      <c r="B55" s="28" t="s">
        <v>65</v>
      </c>
      <c r="C55"/>
      <c r="J55"/>
    </row>
    <row r="57" spans="1:10" s="16" customFormat="1" x14ac:dyDescent="0.2">
      <c r="A57"/>
      <c r="B57" s="3"/>
      <c r="C57"/>
      <c r="J5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H33"/>
  <sheetViews>
    <sheetView tabSelected="1" topLeftCell="B1" workbookViewId="0">
      <selection activeCell="J32" sqref="J32"/>
    </sheetView>
  </sheetViews>
  <sheetFormatPr baseColWidth="10" defaultColWidth="8.83203125" defaultRowHeight="15" x14ac:dyDescent="0.2"/>
  <cols>
    <col min="1" max="1" width="14.1640625" hidden="1" customWidth="1"/>
    <col min="3" max="3" width="17.33203125" bestFit="1" customWidth="1"/>
    <col min="5" max="5" width="8.5" bestFit="1" customWidth="1"/>
    <col min="6" max="6" width="13.6640625" customWidth="1"/>
    <col min="7" max="7" width="9.6640625" customWidth="1"/>
    <col min="8" max="8" width="9.1640625" style="16"/>
  </cols>
  <sheetData>
    <row r="1" spans="1:8" s="39" customFormat="1" ht="32" x14ac:dyDescent="0.2">
      <c r="A1" s="39" t="s">
        <v>140</v>
      </c>
      <c r="B1" s="40" t="s">
        <v>141</v>
      </c>
      <c r="C1" s="40" t="s">
        <v>142</v>
      </c>
      <c r="D1" s="40" t="s">
        <v>143</v>
      </c>
      <c r="E1" s="40" t="s">
        <v>144</v>
      </c>
      <c r="F1" s="41" t="s">
        <v>145</v>
      </c>
      <c r="G1" s="41" t="s">
        <v>146</v>
      </c>
      <c r="H1" s="44" t="s">
        <v>156</v>
      </c>
    </row>
    <row r="2" spans="1:8" x14ac:dyDescent="0.2">
      <c r="A2" t="str">
        <f>C2&amp;E2</f>
        <v>CLIENTCO 1AC</v>
      </c>
      <c r="B2" s="42" t="s">
        <v>147</v>
      </c>
      <c r="C2" s="42" t="s">
        <v>24</v>
      </c>
      <c r="D2" s="43">
        <v>1</v>
      </c>
      <c r="E2" s="42" t="s">
        <v>25</v>
      </c>
      <c r="F2" s="43" t="s">
        <v>148</v>
      </c>
      <c r="G2" s="43" t="s">
        <v>149</v>
      </c>
      <c r="H2" s="43">
        <v>1</v>
      </c>
    </row>
    <row r="3" spans="1:8" x14ac:dyDescent="0.2">
      <c r="A3" t="str">
        <f t="shared" ref="A3:A32" si="0">C3&amp;E3</f>
        <v>CLIENTCO 1RO</v>
      </c>
      <c r="B3" s="42" t="s">
        <v>147</v>
      </c>
      <c r="C3" s="42" t="s">
        <v>24</v>
      </c>
      <c r="D3" s="43">
        <v>1</v>
      </c>
      <c r="E3" s="42" t="s">
        <v>30</v>
      </c>
      <c r="F3" s="43" t="s">
        <v>148</v>
      </c>
      <c r="G3" s="43" t="s">
        <v>149</v>
      </c>
      <c r="H3" s="43">
        <v>1</v>
      </c>
    </row>
    <row r="4" spans="1:8" x14ac:dyDescent="0.2">
      <c r="A4" t="str">
        <f t="shared" si="0"/>
        <v>CLIENTCO 1TO</v>
      </c>
      <c r="B4" s="42" t="s">
        <v>147</v>
      </c>
      <c r="C4" s="42" t="s">
        <v>24</v>
      </c>
      <c r="D4" s="43">
        <v>1</v>
      </c>
      <c r="E4" s="42" t="s">
        <v>32</v>
      </c>
      <c r="F4" s="43" t="s">
        <v>148</v>
      </c>
      <c r="G4" s="43" t="s">
        <v>149</v>
      </c>
      <c r="H4" s="43">
        <v>1</v>
      </c>
    </row>
    <row r="5" spans="1:8" x14ac:dyDescent="0.2">
      <c r="A5" t="str">
        <f t="shared" si="0"/>
        <v>CLIENTCO 1AP</v>
      </c>
      <c r="B5" s="42" t="s">
        <v>147</v>
      </c>
      <c r="C5" s="42" t="s">
        <v>24</v>
      </c>
      <c r="D5" s="43">
        <v>1</v>
      </c>
      <c r="E5" s="42" t="s">
        <v>27</v>
      </c>
      <c r="F5" s="43" t="s">
        <v>148</v>
      </c>
      <c r="G5" s="43" t="s">
        <v>149</v>
      </c>
      <c r="H5" s="43">
        <v>1</v>
      </c>
    </row>
    <row r="6" spans="1:8" x14ac:dyDescent="0.2">
      <c r="A6" t="str">
        <f t="shared" si="0"/>
        <v>CLIENTCO 1AM</v>
      </c>
      <c r="B6" s="42" t="s">
        <v>147</v>
      </c>
      <c r="C6" s="42" t="s">
        <v>24</v>
      </c>
      <c r="D6" s="43">
        <v>1</v>
      </c>
      <c r="E6" s="42" t="s">
        <v>26</v>
      </c>
      <c r="F6" s="43" t="s">
        <v>148</v>
      </c>
      <c r="G6" s="43" t="s">
        <v>149</v>
      </c>
      <c r="H6" s="43">
        <v>1</v>
      </c>
    </row>
    <row r="7" spans="1:8" x14ac:dyDescent="0.2">
      <c r="A7" t="str">
        <f t="shared" si="0"/>
        <v>CLIENTCO 1RR</v>
      </c>
      <c r="B7" s="42" t="s">
        <v>147</v>
      </c>
      <c r="C7" s="42" t="s">
        <v>24</v>
      </c>
      <c r="D7" s="43">
        <v>1</v>
      </c>
      <c r="E7" s="42" t="s">
        <v>31</v>
      </c>
      <c r="F7" s="43" t="s">
        <v>148</v>
      </c>
      <c r="G7" s="43" t="s">
        <v>149</v>
      </c>
      <c r="H7" s="43">
        <v>1</v>
      </c>
    </row>
    <row r="8" spans="1:8" x14ac:dyDescent="0.2">
      <c r="A8" t="str">
        <f t="shared" si="0"/>
        <v>CLIENTCO 1PA</v>
      </c>
      <c r="B8" s="42" t="s">
        <v>147</v>
      </c>
      <c r="C8" s="42" t="s">
        <v>24</v>
      </c>
      <c r="D8" s="43">
        <v>1</v>
      </c>
      <c r="E8" s="42" t="s">
        <v>28</v>
      </c>
      <c r="F8" s="43" t="s">
        <v>148</v>
      </c>
      <c r="G8" s="43" t="s">
        <v>149</v>
      </c>
      <c r="H8" s="43">
        <v>1</v>
      </c>
    </row>
    <row r="9" spans="1:8" x14ac:dyDescent="0.2">
      <c r="A9" t="str">
        <f t="shared" si="0"/>
        <v>CLIENTCO 1RJ</v>
      </c>
      <c r="B9" s="42" t="s">
        <v>147</v>
      </c>
      <c r="C9" s="42" t="s">
        <v>24</v>
      </c>
      <c r="D9" s="43">
        <v>1</v>
      </c>
      <c r="E9" s="42" t="s">
        <v>29</v>
      </c>
      <c r="F9" s="43" t="s">
        <v>150</v>
      </c>
      <c r="G9" s="43" t="s">
        <v>151</v>
      </c>
      <c r="H9" s="43">
        <v>1</v>
      </c>
    </row>
    <row r="10" spans="1:8" x14ac:dyDescent="0.2">
      <c r="A10" t="str">
        <f t="shared" si="0"/>
        <v>CLIENTCO 2MA</v>
      </c>
      <c r="B10" s="42" t="s">
        <v>152</v>
      </c>
      <c r="C10" s="42" t="s">
        <v>33</v>
      </c>
      <c r="D10" s="43">
        <v>2</v>
      </c>
      <c r="E10" s="42" t="s">
        <v>37</v>
      </c>
      <c r="F10" s="43" t="s">
        <v>148</v>
      </c>
      <c r="G10" s="43" t="s">
        <v>149</v>
      </c>
      <c r="H10" s="43">
        <v>1</v>
      </c>
    </row>
    <row r="11" spans="1:8" x14ac:dyDescent="0.2">
      <c r="A11" t="str">
        <f t="shared" si="0"/>
        <v>CLIENTCO 2PI</v>
      </c>
      <c r="B11" s="42" t="s">
        <v>152</v>
      </c>
      <c r="C11" s="42" t="s">
        <v>33</v>
      </c>
      <c r="D11" s="43">
        <v>2</v>
      </c>
      <c r="E11" s="42" t="s">
        <v>40</v>
      </c>
      <c r="F11" s="43" t="s">
        <v>148</v>
      </c>
      <c r="G11" s="43" t="s">
        <v>149</v>
      </c>
      <c r="H11" s="43">
        <v>1</v>
      </c>
    </row>
    <row r="12" spans="1:8" x14ac:dyDescent="0.2">
      <c r="A12" t="str">
        <f t="shared" si="0"/>
        <v>CLIENTCO 2CE</v>
      </c>
      <c r="B12" s="42" t="s">
        <v>152</v>
      </c>
      <c r="C12" s="42" t="s">
        <v>33</v>
      </c>
      <c r="D12" s="43">
        <v>2</v>
      </c>
      <c r="E12" s="42" t="s">
        <v>36</v>
      </c>
      <c r="F12" s="43" t="s">
        <v>148</v>
      </c>
      <c r="G12" s="43" t="s">
        <v>149</v>
      </c>
      <c r="H12" s="43">
        <v>1</v>
      </c>
    </row>
    <row r="13" spans="1:8" x14ac:dyDescent="0.2">
      <c r="A13" t="str">
        <f t="shared" si="0"/>
        <v>CLIENTCO 2PB</v>
      </c>
      <c r="B13" s="42" t="s">
        <v>152</v>
      </c>
      <c r="C13" s="42" t="s">
        <v>33</v>
      </c>
      <c r="D13" s="43">
        <v>2</v>
      </c>
      <c r="E13" s="42" t="s">
        <v>38</v>
      </c>
      <c r="F13" s="43" t="s">
        <v>148</v>
      </c>
      <c r="G13" s="43" t="s">
        <v>149</v>
      </c>
      <c r="H13" s="43">
        <v>1</v>
      </c>
    </row>
    <row r="14" spans="1:8" x14ac:dyDescent="0.2">
      <c r="A14" t="str">
        <f t="shared" si="0"/>
        <v>CLIENTCO 2RN</v>
      </c>
      <c r="B14" s="42" t="s">
        <v>152</v>
      </c>
      <c r="C14" s="42" t="s">
        <v>33</v>
      </c>
      <c r="D14" s="43">
        <v>2</v>
      </c>
      <c r="E14" s="42" t="s">
        <v>41</v>
      </c>
      <c r="F14" s="43" t="s">
        <v>148</v>
      </c>
      <c r="G14" s="43" t="s">
        <v>149</v>
      </c>
      <c r="H14" s="43">
        <v>1</v>
      </c>
    </row>
    <row r="15" spans="1:8" x14ac:dyDescent="0.2">
      <c r="A15" t="str">
        <f t="shared" si="0"/>
        <v>CLIENTCO 2PE</v>
      </c>
      <c r="B15" s="42" t="s">
        <v>152</v>
      </c>
      <c r="C15" s="42" t="s">
        <v>33</v>
      </c>
      <c r="D15" s="43">
        <v>2</v>
      </c>
      <c r="E15" s="42" t="s">
        <v>39</v>
      </c>
      <c r="F15" s="43" t="s">
        <v>148</v>
      </c>
      <c r="G15" s="43" t="s">
        <v>149</v>
      </c>
      <c r="H15" s="43">
        <v>1</v>
      </c>
    </row>
    <row r="16" spans="1:8" x14ac:dyDescent="0.2">
      <c r="A16" t="str">
        <f t="shared" si="0"/>
        <v>CLIENTCO 2AL</v>
      </c>
      <c r="B16" s="42" t="s">
        <v>152</v>
      </c>
      <c r="C16" s="42" t="s">
        <v>33</v>
      </c>
      <c r="D16" s="43">
        <v>2</v>
      </c>
      <c r="E16" s="42" t="s">
        <v>34</v>
      </c>
      <c r="F16" s="43" t="s">
        <v>148</v>
      </c>
      <c r="G16" s="43" t="s">
        <v>149</v>
      </c>
      <c r="H16" s="43">
        <v>1</v>
      </c>
    </row>
    <row r="17" spans="1:8" x14ac:dyDescent="0.2">
      <c r="A17" t="str">
        <f t="shared" si="0"/>
        <v>CLIENTCO 2SE</v>
      </c>
      <c r="B17" s="42" t="s">
        <v>152</v>
      </c>
      <c r="C17" s="42" t="s">
        <v>33</v>
      </c>
      <c r="D17" s="43">
        <v>2</v>
      </c>
      <c r="E17" s="42" t="s">
        <v>42</v>
      </c>
      <c r="F17" s="43" t="s">
        <v>148</v>
      </c>
      <c r="G17" s="43" t="s">
        <v>149</v>
      </c>
      <c r="H17" s="43">
        <v>1</v>
      </c>
    </row>
    <row r="18" spans="1:8" x14ac:dyDescent="0.2">
      <c r="A18" t="str">
        <f t="shared" si="0"/>
        <v>CLIENTCO 2BA</v>
      </c>
      <c r="B18" s="42" t="s">
        <v>152</v>
      </c>
      <c r="C18" s="42" t="s">
        <v>33</v>
      </c>
      <c r="D18" s="43">
        <v>2</v>
      </c>
      <c r="E18" s="42" t="s">
        <v>35</v>
      </c>
      <c r="F18" s="43" t="s">
        <v>148</v>
      </c>
      <c r="G18" s="43" t="s">
        <v>149</v>
      </c>
      <c r="H18" s="43">
        <v>1</v>
      </c>
    </row>
    <row r="19" spans="1:8" x14ac:dyDescent="0.2">
      <c r="A19" t="str">
        <f t="shared" si="0"/>
        <v>CLIENTCO 2RJ</v>
      </c>
      <c r="B19" s="42" t="s">
        <v>152</v>
      </c>
      <c r="C19" s="42" t="s">
        <v>33</v>
      </c>
      <c r="D19" s="43">
        <v>2</v>
      </c>
      <c r="E19" s="42" t="s">
        <v>29</v>
      </c>
      <c r="F19" s="43" t="s">
        <v>150</v>
      </c>
      <c r="G19" s="43" t="s">
        <v>151</v>
      </c>
      <c r="H19" s="43">
        <v>1</v>
      </c>
    </row>
    <row r="20" spans="1:8" x14ac:dyDescent="0.2">
      <c r="A20" t="str">
        <f t="shared" si="0"/>
        <v>CLIENTCO 3PR</v>
      </c>
      <c r="B20" s="42" t="s">
        <v>153</v>
      </c>
      <c r="C20" s="42" t="s">
        <v>43</v>
      </c>
      <c r="D20" s="43">
        <v>3</v>
      </c>
      <c r="E20" s="42" t="s">
        <v>44</v>
      </c>
      <c r="F20" s="43" t="s">
        <v>148</v>
      </c>
      <c r="G20" s="43" t="s">
        <v>149</v>
      </c>
      <c r="H20" s="43">
        <v>1</v>
      </c>
    </row>
    <row r="21" spans="1:8" x14ac:dyDescent="0.2">
      <c r="A21" t="str">
        <f t="shared" si="0"/>
        <v>CLIENTCO 3RS</v>
      </c>
      <c r="B21" s="42" t="s">
        <v>153</v>
      </c>
      <c r="C21" s="42" t="s">
        <v>43</v>
      </c>
      <c r="D21" s="43">
        <v>3</v>
      </c>
      <c r="E21" s="42" t="s">
        <v>45</v>
      </c>
      <c r="F21" s="43" t="s">
        <v>148</v>
      </c>
      <c r="G21" s="43" t="s">
        <v>149</v>
      </c>
      <c r="H21" s="43">
        <v>1</v>
      </c>
    </row>
    <row r="22" spans="1:8" x14ac:dyDescent="0.2">
      <c r="A22" t="str">
        <f t="shared" si="0"/>
        <v>CLIENTCO 3SC</v>
      </c>
      <c r="B22" s="42" t="s">
        <v>153</v>
      </c>
      <c r="C22" s="42" t="s">
        <v>43</v>
      </c>
      <c r="D22" s="43">
        <v>3</v>
      </c>
      <c r="E22" s="42" t="s">
        <v>46</v>
      </c>
      <c r="F22" s="43" t="s">
        <v>148</v>
      </c>
      <c r="G22" s="43" t="s">
        <v>149</v>
      </c>
      <c r="H22" s="43">
        <v>1</v>
      </c>
    </row>
    <row r="23" spans="1:8" x14ac:dyDescent="0.2">
      <c r="A23" t="str">
        <f t="shared" si="0"/>
        <v>CLIENTCO 3RJ</v>
      </c>
      <c r="B23" s="42" t="s">
        <v>153</v>
      </c>
      <c r="C23" s="42" t="s">
        <v>43</v>
      </c>
      <c r="D23" s="43">
        <v>3</v>
      </c>
      <c r="E23" s="42" t="s">
        <v>29</v>
      </c>
      <c r="F23" s="43" t="s">
        <v>150</v>
      </c>
      <c r="G23" s="43" t="s">
        <v>151</v>
      </c>
      <c r="H23" s="43">
        <v>1</v>
      </c>
    </row>
    <row r="24" spans="1:8" x14ac:dyDescent="0.2">
      <c r="A24" t="str">
        <f t="shared" si="0"/>
        <v>CLIENTCO 4DF</v>
      </c>
      <c r="B24" s="42" t="s">
        <v>154</v>
      </c>
      <c r="C24" s="42" t="s">
        <v>47</v>
      </c>
      <c r="D24" s="43">
        <v>4</v>
      </c>
      <c r="E24" s="42" t="s">
        <v>48</v>
      </c>
      <c r="F24" s="43" t="s">
        <v>148</v>
      </c>
      <c r="G24" s="43" t="s">
        <v>149</v>
      </c>
      <c r="H24" s="43">
        <v>1</v>
      </c>
    </row>
    <row r="25" spans="1:8" x14ac:dyDescent="0.2">
      <c r="A25" t="str">
        <f t="shared" si="0"/>
        <v>CLIENTCO 4MT</v>
      </c>
      <c r="B25" s="42" t="s">
        <v>154</v>
      </c>
      <c r="C25" s="42" t="s">
        <v>47</v>
      </c>
      <c r="D25" s="43">
        <v>4</v>
      </c>
      <c r="E25" s="42" t="s">
        <v>52</v>
      </c>
      <c r="F25" s="43" t="s">
        <v>148</v>
      </c>
      <c r="G25" s="43" t="s">
        <v>149</v>
      </c>
      <c r="H25" s="43">
        <v>1</v>
      </c>
    </row>
    <row r="26" spans="1:8" x14ac:dyDescent="0.2">
      <c r="A26" t="str">
        <f t="shared" si="0"/>
        <v>CLIENTCO 4MS</v>
      </c>
      <c r="B26" s="42" t="s">
        <v>154</v>
      </c>
      <c r="C26" s="42" t="s">
        <v>47</v>
      </c>
      <c r="D26" s="43">
        <v>4</v>
      </c>
      <c r="E26" s="42" t="s">
        <v>51</v>
      </c>
      <c r="F26" s="43" t="s">
        <v>148</v>
      </c>
      <c r="G26" s="43" t="s">
        <v>149</v>
      </c>
      <c r="H26" s="43">
        <v>1</v>
      </c>
    </row>
    <row r="27" spans="1:8" x14ac:dyDescent="0.2">
      <c r="A27" t="str">
        <f t="shared" si="0"/>
        <v>CLIENTCO 4GO</v>
      </c>
      <c r="B27" s="42" t="s">
        <v>154</v>
      </c>
      <c r="C27" s="42" t="s">
        <v>47</v>
      </c>
      <c r="D27" s="43">
        <v>4</v>
      </c>
      <c r="E27" s="42" t="s">
        <v>49</v>
      </c>
      <c r="F27" s="43" t="s">
        <v>148</v>
      </c>
      <c r="G27" s="43" t="s">
        <v>149</v>
      </c>
      <c r="H27" s="43">
        <v>1</v>
      </c>
    </row>
    <row r="28" spans="1:8" x14ac:dyDescent="0.2">
      <c r="A28" t="str">
        <f t="shared" si="0"/>
        <v>CLIENTCO 4MG</v>
      </c>
      <c r="B28" s="42" t="s">
        <v>154</v>
      </c>
      <c r="C28" s="42" t="s">
        <v>47</v>
      </c>
      <c r="D28" s="43">
        <v>4</v>
      </c>
      <c r="E28" s="42" t="s">
        <v>50</v>
      </c>
      <c r="F28" s="43" t="s">
        <v>148</v>
      </c>
      <c r="G28" s="43" t="s">
        <v>149</v>
      </c>
      <c r="H28" s="43">
        <v>1</v>
      </c>
    </row>
    <row r="29" spans="1:8" x14ac:dyDescent="0.2">
      <c r="A29" t="str">
        <f t="shared" si="0"/>
        <v>CLIENTCO 4RJ</v>
      </c>
      <c r="B29" s="42" t="s">
        <v>154</v>
      </c>
      <c r="C29" s="42" t="s">
        <v>47</v>
      </c>
      <c r="D29" s="43">
        <v>4</v>
      </c>
      <c r="E29" s="42" t="s">
        <v>29</v>
      </c>
      <c r="F29" s="43" t="s">
        <v>150</v>
      </c>
      <c r="G29" s="43" t="s">
        <v>151</v>
      </c>
      <c r="H29" s="43">
        <v>1</v>
      </c>
    </row>
    <row r="30" spans="1:8" x14ac:dyDescent="0.2">
      <c r="A30" t="str">
        <f t="shared" si="0"/>
        <v>CLIENTCO 5ES</v>
      </c>
      <c r="B30" s="42" t="s">
        <v>155</v>
      </c>
      <c r="C30" s="42" t="s">
        <v>53</v>
      </c>
      <c r="D30" s="43">
        <v>5</v>
      </c>
      <c r="E30" s="42" t="s">
        <v>54</v>
      </c>
      <c r="F30" s="43" t="s">
        <v>148</v>
      </c>
      <c r="G30" s="43" t="s">
        <v>149</v>
      </c>
      <c r="H30" s="43">
        <v>1</v>
      </c>
    </row>
    <row r="31" spans="1:8" x14ac:dyDescent="0.2">
      <c r="A31" t="str">
        <f t="shared" si="0"/>
        <v>CLIENTCO 5RJ</v>
      </c>
      <c r="B31" s="95" t="s">
        <v>155</v>
      </c>
      <c r="C31" s="95" t="s">
        <v>53</v>
      </c>
      <c r="D31" s="95">
        <v>5</v>
      </c>
      <c r="E31" s="95" t="s">
        <v>29</v>
      </c>
      <c r="F31" s="95" t="s">
        <v>148</v>
      </c>
      <c r="G31" s="95" t="s">
        <v>151</v>
      </c>
      <c r="H31" s="95">
        <v>1</v>
      </c>
    </row>
    <row r="32" spans="1:8" x14ac:dyDescent="0.2">
      <c r="A32" t="str">
        <f t="shared" si="0"/>
        <v>CLIENTCO 5SP</v>
      </c>
      <c r="B32" s="42" t="s">
        <v>155</v>
      </c>
      <c r="C32" s="42" t="s">
        <v>53</v>
      </c>
      <c r="D32" s="43">
        <v>5</v>
      </c>
      <c r="E32" s="42" t="s">
        <v>55</v>
      </c>
      <c r="F32" s="43" t="s">
        <v>148</v>
      </c>
      <c r="G32" s="43" t="s">
        <v>149</v>
      </c>
      <c r="H32" s="43">
        <v>1</v>
      </c>
    </row>
    <row r="33" spans="8:8" x14ac:dyDescent="0.2">
      <c r="H33" s="16">
        <f>SUM(H2:H32)</f>
        <v>31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L32"/>
  <sheetViews>
    <sheetView topLeftCell="A13" workbookViewId="0">
      <selection activeCell="D34" sqref="D34"/>
    </sheetView>
  </sheetViews>
  <sheetFormatPr baseColWidth="10" defaultColWidth="9.1640625" defaultRowHeight="15" x14ac:dyDescent="0.2"/>
  <cols>
    <col min="1" max="1" width="2.83203125" customWidth="1"/>
    <col min="2" max="2" width="10.5" customWidth="1"/>
    <col min="3" max="3" width="8.1640625" customWidth="1"/>
    <col min="4" max="4" width="11.6640625" customWidth="1"/>
    <col min="5" max="5" width="129.5" bestFit="1" customWidth="1"/>
    <col min="6" max="6" width="34.33203125" customWidth="1"/>
    <col min="7" max="7" width="11" bestFit="1" customWidth="1"/>
    <col min="9" max="9" width="27" style="29" bestFit="1" customWidth="1"/>
    <col min="10" max="10" width="11" bestFit="1" customWidth="1"/>
  </cols>
  <sheetData>
    <row r="1" spans="1:12" x14ac:dyDescent="0.2">
      <c r="I1" s="93" t="s">
        <v>79</v>
      </c>
      <c r="J1" s="93"/>
      <c r="K1" s="93"/>
      <c r="L1" s="93"/>
    </row>
    <row r="2" spans="1:12" x14ac:dyDescent="0.2">
      <c r="B2" s="3" t="s">
        <v>66</v>
      </c>
      <c r="I2" s="93"/>
      <c r="J2" s="93"/>
      <c r="K2" s="93"/>
      <c r="L2" s="93"/>
    </row>
    <row r="3" spans="1:12" x14ac:dyDescent="0.2">
      <c r="B3" s="30" t="s">
        <v>67</v>
      </c>
      <c r="C3" s="31" t="s">
        <v>68</v>
      </c>
      <c r="I3" s="94" t="s">
        <v>86</v>
      </c>
      <c r="J3" s="94"/>
      <c r="K3" s="94"/>
      <c r="L3" s="94"/>
    </row>
    <row r="4" spans="1:12" x14ac:dyDescent="0.2">
      <c r="I4" s="94" t="s">
        <v>89</v>
      </c>
      <c r="J4" s="94"/>
      <c r="K4" s="94"/>
      <c r="L4" s="94"/>
    </row>
    <row r="5" spans="1:12" s="29" customFormat="1" ht="32" x14ac:dyDescent="0.2">
      <c r="B5" s="32" t="s">
        <v>69</v>
      </c>
      <c r="C5" s="32" t="s">
        <v>70</v>
      </c>
      <c r="D5" s="33" t="s">
        <v>71</v>
      </c>
      <c r="E5" s="33" t="s">
        <v>72</v>
      </c>
      <c r="F5" s="33" t="s">
        <v>73</v>
      </c>
      <c r="G5" s="33" t="s">
        <v>74</v>
      </c>
    </row>
    <row r="6" spans="1:12" ht="16" x14ac:dyDescent="0.2">
      <c r="A6">
        <v>1</v>
      </c>
      <c r="B6" s="34" t="s">
        <v>75</v>
      </c>
      <c r="C6" s="34" t="s">
        <v>28</v>
      </c>
      <c r="D6" s="35" t="s">
        <v>76</v>
      </c>
      <c r="E6" s="36" t="s">
        <v>77</v>
      </c>
      <c r="F6" s="37" t="s">
        <v>78</v>
      </c>
      <c r="G6" s="34" t="str">
        <f>VLOOKUP(C6,[1]Logistica!$D$2:$G$28,4,0)</f>
        <v>CLIENTCO 1</v>
      </c>
    </row>
    <row r="7" spans="1:12" ht="16" x14ac:dyDescent="0.2">
      <c r="A7">
        <v>2</v>
      </c>
      <c r="B7" s="34" t="s">
        <v>75</v>
      </c>
      <c r="C7" s="34" t="s">
        <v>26</v>
      </c>
      <c r="D7" s="35" t="s">
        <v>76</v>
      </c>
      <c r="E7" s="36" t="s">
        <v>80</v>
      </c>
      <c r="F7" s="38" t="s">
        <v>81</v>
      </c>
      <c r="G7" s="34" t="str">
        <f>VLOOKUP(C7,[1]Logistica!$D$2:$G$28,4,0)</f>
        <v>CLIENTCO 1</v>
      </c>
    </row>
    <row r="8" spans="1:12" ht="16" x14ac:dyDescent="0.2">
      <c r="A8">
        <v>3</v>
      </c>
      <c r="B8" s="34" t="s">
        <v>82</v>
      </c>
      <c r="C8" s="34" t="s">
        <v>27</v>
      </c>
      <c r="D8" s="35" t="s">
        <v>83</v>
      </c>
      <c r="E8" s="36" t="s">
        <v>84</v>
      </c>
      <c r="F8" s="38" t="s">
        <v>85</v>
      </c>
      <c r="G8" s="34" t="str">
        <f>VLOOKUP(C8,[1]Logistica!$D$2:$G$28,4,0)</f>
        <v>CLIENTCO 1</v>
      </c>
    </row>
    <row r="9" spans="1:12" ht="16" x14ac:dyDescent="0.2">
      <c r="A9">
        <v>4</v>
      </c>
      <c r="B9" s="34" t="s">
        <v>82</v>
      </c>
      <c r="C9" s="34" t="s">
        <v>31</v>
      </c>
      <c r="D9" s="35" t="s">
        <v>83</v>
      </c>
      <c r="E9" s="36" t="s">
        <v>87</v>
      </c>
      <c r="F9" s="38" t="s">
        <v>88</v>
      </c>
      <c r="G9" s="34" t="str">
        <f>VLOOKUP(C9,[1]Logistica!$D$2:$G$28,4,0)</f>
        <v>CLIENTCO 1</v>
      </c>
    </row>
    <row r="10" spans="1:12" ht="16" x14ac:dyDescent="0.2">
      <c r="A10">
        <v>5</v>
      </c>
      <c r="B10" s="34" t="s">
        <v>82</v>
      </c>
      <c r="C10" s="34" t="s">
        <v>25</v>
      </c>
      <c r="D10" s="35" t="s">
        <v>90</v>
      </c>
      <c r="E10" s="36" t="s">
        <v>91</v>
      </c>
      <c r="F10" s="38" t="s">
        <v>92</v>
      </c>
      <c r="G10" s="34" t="str">
        <f>VLOOKUP(C10,[1]Logistica!$D$2:$G$28,4,0)</f>
        <v>CLIENTCO 1</v>
      </c>
      <c r="I10"/>
    </row>
    <row r="11" spans="1:12" ht="16" x14ac:dyDescent="0.2">
      <c r="A11">
        <v>6</v>
      </c>
      <c r="B11" s="34" t="s">
        <v>82</v>
      </c>
      <c r="C11" s="34" t="s">
        <v>30</v>
      </c>
      <c r="D11" s="35" t="s">
        <v>90</v>
      </c>
      <c r="E11" s="36" t="s">
        <v>93</v>
      </c>
      <c r="F11" s="38" t="s">
        <v>94</v>
      </c>
      <c r="G11" s="34" t="str">
        <f>VLOOKUP(C11,[1]Logistica!$D$2:$G$28,4,0)</f>
        <v>CLIENTCO 1</v>
      </c>
      <c r="I11"/>
    </row>
    <row r="12" spans="1:12" ht="16" x14ac:dyDescent="0.2">
      <c r="A12">
        <v>7</v>
      </c>
      <c r="B12" s="34" t="s">
        <v>82</v>
      </c>
      <c r="C12" s="34" t="s">
        <v>32</v>
      </c>
      <c r="D12" s="35" t="s">
        <v>90</v>
      </c>
      <c r="E12" s="36" t="s">
        <v>95</v>
      </c>
      <c r="F12" s="38" t="s">
        <v>96</v>
      </c>
      <c r="G12" s="34" t="str">
        <f>VLOOKUP(C12,[1]Logistica!$D$2:$G$28,4,0)</f>
        <v>CLIENTCO 1</v>
      </c>
      <c r="I12"/>
    </row>
    <row r="13" spans="1:12" ht="16" x14ac:dyDescent="0.2">
      <c r="A13">
        <v>8</v>
      </c>
      <c r="B13" s="34" t="s">
        <v>75</v>
      </c>
      <c r="C13" s="34" t="s">
        <v>39</v>
      </c>
      <c r="D13" s="35" t="s">
        <v>76</v>
      </c>
      <c r="E13" s="36" t="s">
        <v>97</v>
      </c>
      <c r="F13" s="37" t="s">
        <v>98</v>
      </c>
      <c r="G13" s="34" t="str">
        <f>VLOOKUP(C13,[1]Logistica!$D$2:$G$28,4,0)</f>
        <v>CLIENTCO 2</v>
      </c>
      <c r="I13"/>
    </row>
    <row r="14" spans="1:12" ht="16" x14ac:dyDescent="0.2">
      <c r="A14">
        <v>9</v>
      </c>
      <c r="B14" s="34" t="s">
        <v>75</v>
      </c>
      <c r="C14" s="34" t="s">
        <v>35</v>
      </c>
      <c r="D14" s="35" t="s">
        <v>76</v>
      </c>
      <c r="E14" s="36" t="s">
        <v>99</v>
      </c>
      <c r="F14" s="37" t="s">
        <v>100</v>
      </c>
      <c r="G14" s="34" t="str">
        <f>VLOOKUP(C14,[1]Logistica!$D$2:$G$28,4,0)</f>
        <v>CLIENTCO 2</v>
      </c>
      <c r="I14"/>
    </row>
    <row r="15" spans="1:12" ht="16" x14ac:dyDescent="0.2">
      <c r="A15">
        <v>10</v>
      </c>
      <c r="B15" s="34" t="s">
        <v>82</v>
      </c>
      <c r="C15" s="34" t="s">
        <v>34</v>
      </c>
      <c r="D15" s="35" t="s">
        <v>83</v>
      </c>
      <c r="E15" s="36" t="s">
        <v>101</v>
      </c>
      <c r="F15" s="38" t="s">
        <v>102</v>
      </c>
      <c r="G15" s="34" t="str">
        <f>VLOOKUP(C15,[1]Logistica!$D$2:$G$28,4,0)</f>
        <v>CLIENTCO 2</v>
      </c>
      <c r="I15"/>
    </row>
    <row r="16" spans="1:12" ht="16" x14ac:dyDescent="0.2">
      <c r="A16">
        <v>11</v>
      </c>
      <c r="B16" s="34" t="s">
        <v>82</v>
      </c>
      <c r="C16" s="34" t="s">
        <v>36</v>
      </c>
      <c r="D16" s="35" t="s">
        <v>83</v>
      </c>
      <c r="E16" s="36" t="s">
        <v>103</v>
      </c>
      <c r="F16" s="38" t="s">
        <v>104</v>
      </c>
      <c r="G16" s="34" t="str">
        <f>VLOOKUP(C16,[1]Logistica!$D$2:$G$28,4,0)</f>
        <v>CLIENTCO 2</v>
      </c>
      <c r="I16"/>
    </row>
    <row r="17" spans="1:9" ht="16" x14ac:dyDescent="0.2">
      <c r="A17">
        <v>12</v>
      </c>
      <c r="B17" s="34" t="s">
        <v>82</v>
      </c>
      <c r="C17" s="34" t="s">
        <v>37</v>
      </c>
      <c r="D17" s="35" t="s">
        <v>83</v>
      </c>
      <c r="E17" s="36" t="s">
        <v>105</v>
      </c>
      <c r="F17" s="38" t="s">
        <v>106</v>
      </c>
      <c r="G17" s="34" t="str">
        <f>VLOOKUP(C17,[1]Logistica!$D$2:$G$28,4,0)</f>
        <v>CLIENTCO 2</v>
      </c>
      <c r="I17"/>
    </row>
    <row r="18" spans="1:9" ht="16" x14ac:dyDescent="0.2">
      <c r="A18">
        <v>13</v>
      </c>
      <c r="B18" s="34" t="s">
        <v>82</v>
      </c>
      <c r="C18" s="34" t="s">
        <v>38</v>
      </c>
      <c r="D18" s="35" t="s">
        <v>83</v>
      </c>
      <c r="E18" s="36" t="s">
        <v>107</v>
      </c>
      <c r="F18" s="38" t="s">
        <v>108</v>
      </c>
      <c r="G18" s="34" t="str">
        <f>VLOOKUP(C18,[1]Logistica!$D$2:$G$28,4,0)</f>
        <v>CLIENTCO 2</v>
      </c>
      <c r="I18"/>
    </row>
    <row r="19" spans="1:9" ht="16" x14ac:dyDescent="0.2">
      <c r="A19">
        <v>14</v>
      </c>
      <c r="B19" s="34" t="s">
        <v>82</v>
      </c>
      <c r="C19" s="34" t="s">
        <v>40</v>
      </c>
      <c r="D19" s="35" t="s">
        <v>83</v>
      </c>
      <c r="E19" s="36" t="s">
        <v>109</v>
      </c>
      <c r="F19" s="38" t="s">
        <v>110</v>
      </c>
      <c r="G19" s="34" t="str">
        <f>VLOOKUP(C19,[1]Logistica!$D$2:$G$28,4,0)</f>
        <v>CLIENTCO 2</v>
      </c>
      <c r="I19"/>
    </row>
    <row r="20" spans="1:9" ht="16" x14ac:dyDescent="0.2">
      <c r="A20">
        <v>15</v>
      </c>
      <c r="B20" s="34" t="s">
        <v>82</v>
      </c>
      <c r="C20" s="34" t="s">
        <v>41</v>
      </c>
      <c r="D20" s="35" t="s">
        <v>83</v>
      </c>
      <c r="E20" s="36" t="s">
        <v>111</v>
      </c>
      <c r="F20" s="38" t="s">
        <v>112</v>
      </c>
      <c r="G20" s="34" t="str">
        <f>VLOOKUP(C20,[1]Logistica!$D$2:$G$28,4,0)</f>
        <v>CLIENTCO 2</v>
      </c>
      <c r="I20"/>
    </row>
    <row r="21" spans="1:9" ht="16" x14ac:dyDescent="0.2">
      <c r="A21">
        <v>16</v>
      </c>
      <c r="B21" s="34" t="s">
        <v>82</v>
      </c>
      <c r="C21" s="34" t="s">
        <v>42</v>
      </c>
      <c r="D21" s="35" t="s">
        <v>83</v>
      </c>
      <c r="E21" s="36" t="s">
        <v>113</v>
      </c>
      <c r="F21" s="38" t="s">
        <v>114</v>
      </c>
      <c r="G21" s="34" t="str">
        <f>VLOOKUP(C21,[1]Logistica!$D$2:$G$28,4,0)</f>
        <v>CLIENTCO 2</v>
      </c>
      <c r="I21"/>
    </row>
    <row r="22" spans="1:9" ht="16" x14ac:dyDescent="0.2">
      <c r="A22">
        <v>17</v>
      </c>
      <c r="B22" s="34" t="s">
        <v>75</v>
      </c>
      <c r="C22" s="34" t="s">
        <v>44</v>
      </c>
      <c r="D22" s="35" t="s">
        <v>76</v>
      </c>
      <c r="E22" s="36" t="s">
        <v>115</v>
      </c>
      <c r="F22" s="38" t="s">
        <v>116</v>
      </c>
      <c r="G22" s="34" t="str">
        <f>VLOOKUP(C22,[1]Logistica!$D$2:$G$28,4,0)</f>
        <v>CLIENTCO 3</v>
      </c>
      <c r="I22"/>
    </row>
    <row r="23" spans="1:9" ht="16" x14ac:dyDescent="0.2">
      <c r="A23">
        <v>18</v>
      </c>
      <c r="B23" s="34" t="s">
        <v>82</v>
      </c>
      <c r="C23" s="34" t="s">
        <v>45</v>
      </c>
      <c r="D23" s="35" t="s">
        <v>83</v>
      </c>
      <c r="E23" s="36" t="s">
        <v>117</v>
      </c>
      <c r="F23" s="38" t="s">
        <v>118</v>
      </c>
      <c r="G23" s="34" t="str">
        <f>VLOOKUP(C23,[1]Logistica!$D$2:$G$28,4,0)</f>
        <v>CLIENTCO 3</v>
      </c>
      <c r="I23"/>
    </row>
    <row r="24" spans="1:9" ht="16" x14ac:dyDescent="0.2">
      <c r="A24">
        <v>19</v>
      </c>
      <c r="B24" s="34" t="s">
        <v>82</v>
      </c>
      <c r="C24" s="34" t="s">
        <v>46</v>
      </c>
      <c r="D24" s="35" t="s">
        <v>83</v>
      </c>
      <c r="E24" s="36" t="s">
        <v>119</v>
      </c>
      <c r="F24" s="37" t="s">
        <v>120</v>
      </c>
      <c r="G24" s="34" t="str">
        <f>VLOOKUP(C24,[1]Logistica!$D$2:$G$28,4,0)</f>
        <v>CLIENTCO 3</v>
      </c>
      <c r="I24"/>
    </row>
    <row r="25" spans="1:9" ht="16" x14ac:dyDescent="0.2">
      <c r="A25">
        <v>20</v>
      </c>
      <c r="B25" s="34" t="s">
        <v>121</v>
      </c>
      <c r="C25" s="34" t="s">
        <v>48</v>
      </c>
      <c r="D25" s="35" t="s">
        <v>122</v>
      </c>
      <c r="E25" s="36" t="s">
        <v>123</v>
      </c>
      <c r="F25" s="37" t="s">
        <v>124</v>
      </c>
      <c r="G25" s="34" t="str">
        <f>VLOOKUP(C25,[1]Logistica!$D$2:$G$28,4,0)</f>
        <v>CLIENTCO 4</v>
      </c>
      <c r="I25"/>
    </row>
    <row r="26" spans="1:9" ht="16" x14ac:dyDescent="0.2">
      <c r="A26">
        <v>21</v>
      </c>
      <c r="B26" s="34" t="s">
        <v>82</v>
      </c>
      <c r="C26" s="34" t="s">
        <v>49</v>
      </c>
      <c r="D26" s="35" t="s">
        <v>90</v>
      </c>
      <c r="E26" s="36" t="s">
        <v>125</v>
      </c>
      <c r="F26" s="37" t="s">
        <v>126</v>
      </c>
      <c r="G26" s="34" t="str">
        <f>VLOOKUP(C26,[1]Logistica!$D$2:$G$28,4,0)</f>
        <v>CLIENTCO 4</v>
      </c>
      <c r="I26"/>
    </row>
    <row r="27" spans="1:9" ht="16" x14ac:dyDescent="0.2">
      <c r="A27">
        <v>22</v>
      </c>
      <c r="B27" s="34" t="s">
        <v>82</v>
      </c>
      <c r="C27" s="34" t="s">
        <v>50</v>
      </c>
      <c r="D27" s="35" t="s">
        <v>90</v>
      </c>
      <c r="E27" s="36" t="s">
        <v>127</v>
      </c>
      <c r="F27" s="38" t="s">
        <v>128</v>
      </c>
      <c r="G27" s="34" t="str">
        <f>VLOOKUP(C27,[1]Logistica!$D$2:$G$28,4,0)</f>
        <v>CLIENTCO 4</v>
      </c>
      <c r="I27"/>
    </row>
    <row r="28" spans="1:9" ht="16" x14ac:dyDescent="0.2">
      <c r="A28">
        <v>23</v>
      </c>
      <c r="B28" s="34" t="s">
        <v>82</v>
      </c>
      <c r="C28" s="34" t="s">
        <v>51</v>
      </c>
      <c r="D28" s="35" t="s">
        <v>90</v>
      </c>
      <c r="E28" s="36" t="s">
        <v>129</v>
      </c>
      <c r="F28" s="38" t="s">
        <v>130</v>
      </c>
      <c r="G28" s="34" t="str">
        <f>VLOOKUP(C28,[1]Logistica!$D$2:$G$28,4,0)</f>
        <v>CLIENTCO 4</v>
      </c>
      <c r="I28"/>
    </row>
    <row r="29" spans="1:9" ht="16" x14ac:dyDescent="0.2">
      <c r="A29">
        <v>24</v>
      </c>
      <c r="B29" s="34" t="s">
        <v>82</v>
      </c>
      <c r="C29" s="34" t="s">
        <v>52</v>
      </c>
      <c r="D29" s="35" t="s">
        <v>90</v>
      </c>
      <c r="E29" s="36" t="s">
        <v>131</v>
      </c>
      <c r="F29" s="38" t="s">
        <v>132</v>
      </c>
      <c r="G29" s="34" t="str">
        <f>VLOOKUP(C29,[1]Logistica!$D$2:$G$28,4,0)</f>
        <v>CLIENTCO 4</v>
      </c>
      <c r="I29"/>
    </row>
    <row r="30" spans="1:9" ht="16" x14ac:dyDescent="0.2">
      <c r="A30">
        <v>25</v>
      </c>
      <c r="B30" s="34" t="s">
        <v>121</v>
      </c>
      <c r="C30" s="34" t="s">
        <v>29</v>
      </c>
      <c r="D30" s="35" t="s">
        <v>122</v>
      </c>
      <c r="E30" s="36" t="s">
        <v>133</v>
      </c>
      <c r="F30" s="38" t="s">
        <v>134</v>
      </c>
      <c r="G30" s="34" t="str">
        <f>VLOOKUP(C30,[1]Logistica!$D$2:$G$28,4,0)</f>
        <v>CLIENTCO 5</v>
      </c>
      <c r="I30"/>
    </row>
    <row r="31" spans="1:9" ht="16" x14ac:dyDescent="0.2">
      <c r="A31">
        <v>26</v>
      </c>
      <c r="B31" s="34" t="s">
        <v>82</v>
      </c>
      <c r="C31" s="34" t="s">
        <v>54</v>
      </c>
      <c r="D31" s="35" t="s">
        <v>90</v>
      </c>
      <c r="E31" s="36" t="s">
        <v>135</v>
      </c>
      <c r="F31" s="37" t="s">
        <v>136</v>
      </c>
      <c r="G31" s="34" t="str">
        <f>VLOOKUP(C31,[1]Logistica!$D$2:$G$28,4,0)</f>
        <v>CLIENTCO 5</v>
      </c>
      <c r="I31"/>
    </row>
    <row r="32" spans="1:9" ht="16" x14ac:dyDescent="0.2">
      <c r="A32">
        <v>27</v>
      </c>
      <c r="B32" s="34" t="s">
        <v>82</v>
      </c>
      <c r="C32" s="34" t="s">
        <v>55</v>
      </c>
      <c r="D32" s="35" t="s">
        <v>90</v>
      </c>
      <c r="E32" s="36" t="s">
        <v>137</v>
      </c>
      <c r="F32" s="37" t="s">
        <v>138</v>
      </c>
      <c r="G32" s="34" t="str">
        <f>VLOOKUP(C32,[1]Logistica!$D$2:$G$28,4,0)</f>
        <v>CLIENTCO 5</v>
      </c>
      <c r="I32"/>
    </row>
  </sheetData>
  <mergeCells count="3">
    <mergeCell ref="I1:L2"/>
    <mergeCell ref="I3:L3"/>
    <mergeCell ref="I4:L4"/>
  </mergeCells>
  <conditionalFormatting sqref="C3">
    <cfRule type="cellIs" dxfId="1" priority="1" operator="notEqual">
      <formula>""</formula>
    </cfRule>
    <cfRule type="cellIs" dxfId="0" priority="2" operator="equal">
      <formula>""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Custos De Compra CNPJ - Societ.</vt:lpstr>
      <vt:lpstr>Custos para Abertura de Filiais</vt:lpstr>
      <vt:lpstr>Capitais Societário</vt:lpstr>
      <vt:lpstr>Municipios Logística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Charlene Santino Da Silva</dc:creator>
  <cp:lastModifiedBy>Alessandro Barbosa</cp:lastModifiedBy>
  <dcterms:created xsi:type="dcterms:W3CDTF">2024-03-25T20:46:22Z</dcterms:created>
  <dcterms:modified xsi:type="dcterms:W3CDTF">2024-04-16T17:43:06Z</dcterms:modified>
</cp:coreProperties>
</file>