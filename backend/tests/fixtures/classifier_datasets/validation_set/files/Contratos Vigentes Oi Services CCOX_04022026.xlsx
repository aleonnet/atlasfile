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pivotTables/pivotTable1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01"/>
  <workbookPr/>
  <mc:AlternateContent xmlns:mc="http://schemas.openxmlformats.org/markup-compatibility/2006">
    <mc:Choice Requires="x15">
      <x15ac:absPath xmlns:x15ac="http://schemas.microsoft.com/office/spreadsheetml/2010/11/ac" url="https://d.docs.live.net/f43270e39eaaf1d1/Área de Trabalho/_Projetos/Incorporações Oi Services e Marea/"/>
    </mc:Choice>
  </mc:AlternateContent>
  <xr:revisionPtr revIDLastSave="48" documentId="11_AE2CE5E436927AEEF24BE8C3E0C4BDAED1109401" xr6:coauthVersionLast="47" xr6:coauthVersionMax="47" xr10:uidLastSave="{3D56B2C2-822F-364B-A530-E717C4DB27D2}"/>
  <bookViews>
    <workbookView xWindow="25640" yWindow="680" windowWidth="25480" windowHeight="26220" activeTab="1" xr2:uid="{00000000-000D-0000-FFFF-FFFF00000000}"/>
  </bookViews>
  <sheets>
    <sheet name="Detail1" sheetId="4" r:id="rId1"/>
    <sheet name="pivot_visao_geral" sheetId="2" r:id="rId2"/>
    <sheet name=" 04022026" sheetId="1" r:id="rId3"/>
  </sheets>
  <definedNames>
    <definedName name="_xlnm._FilterDatabase" localSheetId="2" hidden="1">' 04022026'!$A$1:$AE$92</definedName>
  </definedNames>
  <calcPr calcId="0"/>
  <pivotCaches>
    <pivotCache cacheId="10" r:id="rId4"/>
  </pivotCaches>
</workbook>
</file>

<file path=xl/sharedStrings.xml><?xml version="1.0" encoding="utf-8"?>
<sst xmlns="http://schemas.openxmlformats.org/spreadsheetml/2006/main" count="1461" uniqueCount="310">
  <si>
    <t>Contrato SAP</t>
  </si>
  <si>
    <t>Requisições em Andamento</t>
  </si>
  <si>
    <t>Data Último Pedido</t>
  </si>
  <si>
    <t>Empresa</t>
  </si>
  <si>
    <t>Código Fornecedor</t>
  </si>
  <si>
    <t>Grupo do Fornecedor</t>
  </si>
  <si>
    <t>Objeto</t>
  </si>
  <si>
    <t>Início do Prazo</t>
  </si>
  <si>
    <t>Fim da Validade</t>
  </si>
  <si>
    <t>Valor Fixado</t>
  </si>
  <si>
    <t>Valor Utilizado</t>
  </si>
  <si>
    <t>Saldo</t>
  </si>
  <si>
    <t>Diretoria N1</t>
  </si>
  <si>
    <t>Diretoria N2</t>
  </si>
  <si>
    <t>Diretor</t>
  </si>
  <si>
    <t>E-mail do Gestor</t>
  </si>
  <si>
    <t>Gerência</t>
  </si>
  <si>
    <t>Comprador</t>
  </si>
  <si>
    <t>Vigência</t>
  </si>
  <si>
    <t>Valor Fixado Anualizado</t>
  </si>
  <si>
    <t>Valor Utilizado Anualizado</t>
  </si>
  <si>
    <t>Saldo Anualizado</t>
  </si>
  <si>
    <t>Utilizado + Saldo Anual</t>
  </si>
  <si>
    <t>Condição de Pagamento</t>
  </si>
  <si>
    <t>Descrição da Condição de Pagamento</t>
  </si>
  <si>
    <t>Organização de Compras</t>
  </si>
  <si>
    <t>Grupo de Compras</t>
  </si>
  <si>
    <t>Moeda</t>
  </si>
  <si>
    <t>Tipo de Custo</t>
  </si>
  <si>
    <t>Percentual Capex</t>
  </si>
  <si>
    <t>Percentual Opex</t>
  </si>
  <si>
    <t>CCOX</t>
  </si>
  <si>
    <t>SEREDE</t>
  </si>
  <si>
    <t>BPO Serede</t>
  </si>
  <si>
    <t>OPERACOES DE REDE E SI</t>
  </si>
  <si>
    <t>DESEMPENHO E ECOSSISTEMA DE PARCEIROS</t>
  </si>
  <si>
    <t>GUSTAVO ROBERTO BRAMBILA</t>
  </si>
  <si>
    <t>priscila@oi.net.br</t>
  </si>
  <si>
    <t>COMPRAS CORPORATIVAS</t>
  </si>
  <si>
    <t>BPO</t>
  </si>
  <si>
    <t>VERONICA PEREIRA DA ROCHA AZEVEDO</t>
  </si>
  <si>
    <t>0010</t>
  </si>
  <si>
    <t>9 dias após a entrega da fatura com desconto de 6%</t>
  </si>
  <si>
    <t>OCCO</t>
  </si>
  <si>
    <t>N02</t>
  </si>
  <si>
    <t>BRL</t>
  </si>
  <si>
    <t>SEM PEDIDOS</t>
  </si>
  <si>
    <t>ACCENTURE</t>
  </si>
  <si>
    <t>FINANCAS E RELACOES COM INVESTIDORES</t>
  </si>
  <si>
    <t>CONTROLADORIA</t>
  </si>
  <si>
    <t>RODRIGO CALDAS DE TOLEDO AGUIAR</t>
  </si>
  <si>
    <t>patricia.gouveia@oi.net.br</t>
  </si>
  <si>
    <t>ANELISE HUFF</t>
  </si>
  <si>
    <t>0001</t>
  </si>
  <si>
    <t>Pagto imediato</t>
  </si>
  <si>
    <t>OPEX</t>
  </si>
  <si>
    <t>ORACLE</t>
  </si>
  <si>
    <t>Pagamento ano 2025 - Escopo OCI - Distrato</t>
  </si>
  <si>
    <t>TECNOLOGIA</t>
  </si>
  <si>
    <t>DATA ANALYTICS E GOVERNANCA</t>
  </si>
  <si>
    <t>CAIO MARCIO GUSMON</t>
  </si>
  <si>
    <t>daniellerodrigues@oi.net.br</t>
  </si>
  <si>
    <t>COMPRAS INDIRETAS</t>
  </si>
  <si>
    <t>N07</t>
  </si>
  <si>
    <t>AMAZON AWS</t>
  </si>
  <si>
    <t>Serviços de Cloud AWS</t>
  </si>
  <si>
    <t>tatiana.almeida@oi.net.br</t>
  </si>
  <si>
    <t>COMPRAS DIRETAS</t>
  </si>
  <si>
    <t>0030</t>
  </si>
  <si>
    <t>30ddl após entrega/aceite ou conf.cond.contratual</t>
  </si>
  <si>
    <t>N04</t>
  </si>
  <si>
    <t>ELEA DIGITAL</t>
  </si>
  <si>
    <t>Este novo instrumento jurídico substitui o contrato INTERCOMPANY de 01/09/2020 - antigo contrato da OI S.A 4600052690 -</t>
  </si>
  <si>
    <t>tatiana.cardozo@oi.net.br</t>
  </si>
  <si>
    <t>WAGNER FERREIRA LOPES</t>
  </si>
  <si>
    <t>02BB</t>
  </si>
  <si>
    <t>Boleto Bancário - Á Vista</t>
  </si>
  <si>
    <t>OCRO</t>
  </si>
  <si>
    <t>F14</t>
  </si>
  <si>
    <t>PTLS</t>
  </si>
  <si>
    <t>Suporte e Manutenção Licenças EA</t>
  </si>
  <si>
    <t>KATINE MULLER KLUPPELL</t>
  </si>
  <si>
    <t>0090</t>
  </si>
  <si>
    <t>90ddl após entrega/aceite ou conf.cond.contratual.</t>
  </si>
  <si>
    <t>PARK PLACE</t>
  </si>
  <si>
    <t>Manutenção e Suporte de Hardware Multivendor - Oi Services</t>
  </si>
  <si>
    <t>VANESSA DE OLIVEIRA BUENO</t>
  </si>
  <si>
    <t>0060</t>
  </si>
  <si>
    <t>60ddl após entrega/aceite ou conf.cond.contratual.</t>
  </si>
  <si>
    <t>SOVOS COMPLIANCE</t>
  </si>
  <si>
    <t>E-Billing Corporativo</t>
  </si>
  <si>
    <t>pedro.lauand@oi.net.br</t>
  </si>
  <si>
    <t>INGRAM MICRO</t>
  </si>
  <si>
    <t>Licenciamento Citrix - Subscrição</t>
  </si>
  <si>
    <t>GOOGLE</t>
  </si>
  <si>
    <t>Contratação do GCP Data Analytics</t>
  </si>
  <si>
    <t>IBM</t>
  </si>
  <si>
    <t>Demandas extra baseline - Torre IBM</t>
  </si>
  <si>
    <t>0045</t>
  </si>
  <si>
    <t>45ddl após entrega/aceite ou conf.cond.contratual.</t>
  </si>
  <si>
    <t>PROAAI</t>
  </si>
  <si>
    <t>Licenciamento Watson</t>
  </si>
  <si>
    <t>ADISTEC</t>
  </si>
  <si>
    <t>Licenciamento e Suporte Veritas</t>
  </si>
  <si>
    <t>GLOBALWEB</t>
  </si>
  <si>
    <t>Serviços especializados em infraestrutura de TI</t>
  </si>
  <si>
    <t>CLARICE EULALIA KLEM CHAVES</t>
  </si>
  <si>
    <t>V8 CONSULTING</t>
  </si>
  <si>
    <t>Contratação do licenciamento da plataforma Elastic</t>
  </si>
  <si>
    <t>NEC</t>
  </si>
  <si>
    <t>Roteadores NGN - Oi Services</t>
  </si>
  <si>
    <t>OPERACOES B2C</t>
  </si>
  <si>
    <t>anatoly.cardoso@oi.net.br</t>
  </si>
  <si>
    <t>DHAUZ</t>
  </si>
  <si>
    <t>Suporte e sustentação às ferramentas de OSS, automações, RPAs</t>
  </si>
  <si>
    <t>gustavo.cortez@oi.net.br</t>
  </si>
  <si>
    <t>CLEARTECH</t>
  </si>
  <si>
    <t>Cleartech - Detraf</t>
  </si>
  <si>
    <t>0035</t>
  </si>
  <si>
    <t>35ddl após entrega/aceite ou conf.cond.contratual</t>
  </si>
  <si>
    <t>VIPERZERO</t>
  </si>
  <si>
    <t>Prestação de Serviços de suporte do JETL e Desenvolvimento de Melhorias no Software - Oi Services</t>
  </si>
  <si>
    <t>SONDA</t>
  </si>
  <si>
    <t>COMPLY e COMPLY Apoio (sistema específico da Client CO), ECF e REINF - Oi Services</t>
  </si>
  <si>
    <t>INFRA E OPERACOES</t>
  </si>
  <si>
    <t>wagner.triano@oi.net.br</t>
  </si>
  <si>
    <t>VORTEX IT SECURITY</t>
  </si>
  <si>
    <t>Aquisição Solução Data Loss Prevention - Licenças Forcepoint</t>
  </si>
  <si>
    <t>SEGURANCA DA INFORMACAO</t>
  </si>
  <si>
    <t>nivaldo.santos@oi.net.br</t>
  </si>
  <si>
    <t>RENAN DE ANDRADE CARDOSO FURTADO</t>
  </si>
  <si>
    <t>Aquisição de Licença API Gee Enterprise Edition</t>
  </si>
  <si>
    <t>Suporte e Manutenção Hardware Diversos</t>
  </si>
  <si>
    <t>EM DEFINIÇÃO</t>
  </si>
  <si>
    <t>Vantage Cloud para o ambiente de Revenue Assurance (Teradata / Google)</t>
  </si>
  <si>
    <t>MINSAIT</t>
  </si>
  <si>
    <t>Serviço de Data Analytics</t>
  </si>
  <si>
    <t>WANDERSON ALVES DINIZ</t>
  </si>
  <si>
    <t>SQUADRA</t>
  </si>
  <si>
    <t>Suporte, Manutenção e serviços do sistema Geosite</t>
  </si>
  <si>
    <t>AMERICA TECNOLOGIA DE INFORMATICA</t>
  </si>
  <si>
    <t>Suporte Técnico Hardwares Diversos CGR</t>
  </si>
  <si>
    <t>paulo.camporez@oi.net.br</t>
  </si>
  <si>
    <t>AKROSS</t>
  </si>
  <si>
    <t>Operaçao e Manutenção Minha OI e OI Colaborador – MobileCare/Akr</t>
  </si>
  <si>
    <t>DESENVOLVIMENTO E TRANSFORMACAO DO NEGOCIO</t>
  </si>
  <si>
    <t>rodrigo.azevedo@oi.net.br</t>
  </si>
  <si>
    <t>JANISE OLIVEIRA DE ALMEIDA</t>
  </si>
  <si>
    <t>LPU Red Hat</t>
  </si>
  <si>
    <t>rean.machado@oi.net.br</t>
  </si>
  <si>
    <t>Desenvolvimentos evolutivo e corretivo para a Minha Oi Mobile, App Recarga, Site Móvel, Oi Galera</t>
  </si>
  <si>
    <t>CICLO DA RECEITA, OSS E APLICACOES CORPORATIVAS</t>
  </si>
  <si>
    <t>Cisco Enterprise Agreement</t>
  </si>
  <si>
    <t>rodnei.martins@oi.net.br</t>
  </si>
  <si>
    <t>USD</t>
  </si>
  <si>
    <t>NTT DATA</t>
  </si>
  <si>
    <t>Serviços de Cloud e Serviços Profissionais</t>
  </si>
  <si>
    <t>SEK SECURITY ECOSYSTEM KNOWLEDGE</t>
  </si>
  <si>
    <t>Serviço de segurança de ambiente</t>
  </si>
  <si>
    <t>GAT</t>
  </si>
  <si>
    <t>Ferramenta de Solução de Gestão de Risco e Vulnerabilidades</t>
  </si>
  <si>
    <t>BETTA SOLUCOES DE ATENDIMENTO</t>
  </si>
  <si>
    <t>Session Manager e Context Store / Upgrade Dynamic Routing 3 / Manutenção Pre Routing</t>
  </si>
  <si>
    <t>Manutenção do WFM e Gravador NIM 4.1 existente da BTCC e aquisição de licenças</t>
  </si>
  <si>
    <t>rafael.amorim@oi.net.br</t>
  </si>
  <si>
    <t>ACORP</t>
  </si>
  <si>
    <t>Suporte e Manutenção de Licenças Novell Microfocus - Oi Services</t>
  </si>
  <si>
    <t>TRDT</t>
  </si>
  <si>
    <t>Pestação dos serviços On-Premises Cloud do ambiente RA/ITX</t>
  </si>
  <si>
    <t>TROPICO</t>
  </si>
  <si>
    <t>Suporte Técnico Trópico</t>
  </si>
  <si>
    <t>fabricio.ladislau@oi.net.br</t>
  </si>
  <si>
    <t>ELIAKYN DAYAN DE IBANHES</t>
  </si>
  <si>
    <t>COGNYTE</t>
  </si>
  <si>
    <t>Renovação do contrato de Fábrica de Software dos produtos do Vigia</t>
  </si>
  <si>
    <t>SERASA</t>
  </si>
  <si>
    <t>Renovação Fábrica de Software GED</t>
  </si>
  <si>
    <t>vivian.jesus@oi.net.br</t>
  </si>
  <si>
    <t>3CON</t>
  </si>
  <si>
    <t>Serviços de célula de qualidade no ambiente do mainframe</t>
  </si>
  <si>
    <t>0050</t>
  </si>
  <si>
    <t>50ddl após entrega/aceite ou conf.cond.contratual.</t>
  </si>
  <si>
    <t>Contrato de reCAPTCHA para os canais digitais</t>
  </si>
  <si>
    <t>Plataforma de Onboarding Digital para novos colaboradores Oi e Serede</t>
  </si>
  <si>
    <t>PESSOAS &amp; CULTURA</t>
  </si>
  <si>
    <t>REMUNERACAO, PLANEJAMENTO E GESTAO</t>
  </si>
  <si>
    <t>MARCOS MENDES</t>
  </si>
  <si>
    <t>valeria.braga@oi.net.br</t>
  </si>
  <si>
    <t>FUNDACAO CPQD</t>
  </si>
  <si>
    <t>Manutenção corretiva e evolutiva dos sistemas da CPqD</t>
  </si>
  <si>
    <t>BWSEC (BE WELCOME SECURITY)</t>
  </si>
  <si>
    <t>Solução Endpoint Symantec - Oi Services</t>
  </si>
  <si>
    <t>SALESFORCE</t>
  </si>
  <si>
    <t>Contrato de Licenças Tableau</t>
  </si>
  <si>
    <t>ASSESSO INFORMATICA</t>
  </si>
  <si>
    <t>Suporte e Manutenção das Licenças Data Care</t>
  </si>
  <si>
    <t>ASCENTY TELECOMUNICACOES</t>
  </si>
  <si>
    <t>Serviço de Transmissão de Dados e IP Dedicado</t>
  </si>
  <si>
    <t>FIREMON LLC</t>
  </si>
  <si>
    <t>Soluções Firemon (SI)</t>
  </si>
  <si>
    <t>GUSTAVO MELO BRAGA</t>
  </si>
  <si>
    <t>A5 SOLUTIONS</t>
  </si>
  <si>
    <t>Manutenção e suporte URA call center</t>
  </si>
  <si>
    <t>TRIAD INTEGRATION</t>
  </si>
  <si>
    <t>Renovação do Contrato de Fábrica de Software para atendimento ao Co-billing e Repasse - Oi Services</t>
  </si>
  <si>
    <t>E-SAFER</t>
  </si>
  <si>
    <t>Renovação do contrato de testes de segurança Web</t>
  </si>
  <si>
    <t>Renovação Suporte e Manutenção Teradata.</t>
  </si>
  <si>
    <t>MICROSOFT</t>
  </si>
  <si>
    <t>Suporte Premier Microsoft</t>
  </si>
  <si>
    <t>DOCUSIGN</t>
  </si>
  <si>
    <t>Assinatura Eletrônica</t>
  </si>
  <si>
    <t>vivian.aparecida@oi.net.br</t>
  </si>
  <si>
    <t>RIGHLY COMPUTADORES</t>
  </si>
  <si>
    <t>Prestação de Serviços de Microinformática – TI</t>
  </si>
  <si>
    <t>TAHTO - BRASIL TELECOM CALL CENTER</t>
  </si>
  <si>
    <t>BackOffice Serviços de viagens</t>
  </si>
  <si>
    <t>SUPORTE AO NEGOCIO</t>
  </si>
  <si>
    <t>PATRIMONIO</t>
  </si>
  <si>
    <t>DANIEL JUNQUEIRA PINTO HERMETO</t>
  </si>
  <si>
    <t>adriano.israel@oi.net.br</t>
  </si>
  <si>
    <t>NGN TELECOM</t>
  </si>
  <si>
    <t>SOLUÇÃO DE MONIT. UTILIZ. PROBES APP E PROBES SDK</t>
  </si>
  <si>
    <t>TIM</t>
  </si>
  <si>
    <t>Plano Móvel Colaborador</t>
  </si>
  <si>
    <t>edinei.silva@oi.net.br</t>
  </si>
  <si>
    <t>Suporte e Manutenção do BDO e SOA (portabilidade)</t>
  </si>
  <si>
    <t>leonardo.iunes@oi.net.br</t>
  </si>
  <si>
    <t>DECISION</t>
  </si>
  <si>
    <t>Gerenciamento e Suporte do Virtualizador VMWare</t>
  </si>
  <si>
    <t>alexandre.vargas@oi.net.br</t>
  </si>
  <si>
    <t>ZABBIX</t>
  </si>
  <si>
    <t>LPU de Serviços de Suporte Zabbix</t>
  </si>
  <si>
    <t>MED-RIO</t>
  </si>
  <si>
    <t>Prestação de Serviço de Checkup Executivo Oi - RJ</t>
  </si>
  <si>
    <t>JORNADA &amp; EXPERIENCIA DO COLABORADOR</t>
  </si>
  <si>
    <t>cintia.rau@oi.net.br</t>
  </si>
  <si>
    <t>Fábrica de Software para atendimento ao Gateway de Portabilidade</t>
  </si>
  <si>
    <t>Manutenção dos sistemas TRIM, ADASTRIP, E-STRIP</t>
  </si>
  <si>
    <t>COLUMBIA STORAGE INTEGRACAO</t>
  </si>
  <si>
    <t>Serviços de Manutenção em Equipamento NetApp</t>
  </si>
  <si>
    <t>OI MOVEL</t>
  </si>
  <si>
    <t>Envio SMS</t>
  </si>
  <si>
    <t>OI SOLUCOES</t>
  </si>
  <si>
    <t>PRODUTOS, ARQUITETURA, ATACADO E PLANEJAMENTO</t>
  </si>
  <si>
    <t>MARCELO AUGUSTO LEITE DE MORAES</t>
  </si>
  <si>
    <t>marcio.webler@oi.net.br</t>
  </si>
  <si>
    <t>ICTS</t>
  </si>
  <si>
    <t>Consultoria e Auditoria de SI orientada ao NIST</t>
  </si>
  <si>
    <t>L3 SOFTWARE</t>
  </si>
  <si>
    <t>Ferramentas de Apoio ao Digital</t>
  </si>
  <si>
    <t>RAFAEL MAIA DE VASCONCELOS MUNIZ</t>
  </si>
  <si>
    <t>MARSH CORRETORA DE SEGUROS</t>
  </si>
  <si>
    <t>Consultoria e Gestão de Benefícios Oi</t>
  </si>
  <si>
    <t>carlos.andrade@oi.net.br</t>
  </si>
  <si>
    <t>MONDRI</t>
  </si>
  <si>
    <t>Fornecimento de Crachás para Oi Services</t>
  </si>
  <si>
    <t>Aquisição de Licenças para o IFRS16 Oracle - EPM</t>
  </si>
  <si>
    <t>GUPY RECRUTAMENTO</t>
  </si>
  <si>
    <t>Ferramenta de Recrutamento e Seleção</t>
  </si>
  <si>
    <t>carolina.engel@oi.net.br</t>
  </si>
  <si>
    <t>GMO GLOBALSIGN</t>
  </si>
  <si>
    <t>Aquisição e manutenção de licenciamento c/ GlobalSign - Certificados Digitais</t>
  </si>
  <si>
    <t>TECHBIZ FORENSE DIGITAL</t>
  </si>
  <si>
    <t>Suporte e manutenção da Licença EnCase com suporte remoto 8x5 de outras ferramentas.</t>
  </si>
  <si>
    <t>diogo.canonio@oi.net.br</t>
  </si>
  <si>
    <t>WORKERS</t>
  </si>
  <si>
    <t>Renovação do Suporte técnico e manutenção do SW Workers Audittn</t>
  </si>
  <si>
    <t>Licenças Veriato Cerebral In Cloud e Serviços de Implantação</t>
  </si>
  <si>
    <t>Serviços de teste periódico da efetividade e de reforço da conscientização no que tange combate a Phishing</t>
  </si>
  <si>
    <t>ENERGIE SERVICOS E GESTAO NUTRICIONAL</t>
  </si>
  <si>
    <t>Prestação de Serviços de com equipe tecnicamente capacitada para realizar programas de saúde online, relacionados a condições específicas visando a me</t>
  </si>
  <si>
    <t>DUAL SAÚDE INTEGRADA</t>
  </si>
  <si>
    <t>Prestação de Serviço de Programa de Saúde Ocupacional - PCMSO - Oi</t>
  </si>
  <si>
    <t>NUBE</t>
  </si>
  <si>
    <t>Gestão de estagiários</t>
  </si>
  <si>
    <t>3ELOS</t>
  </si>
  <si>
    <t>Manutenção e suporte do produto LogWatch</t>
  </si>
  <si>
    <t>LORENA SALDANHA RICARDO</t>
  </si>
  <si>
    <t>MERCADO ELETRONICO</t>
  </si>
  <si>
    <t>Prestação de serviços de e-Procurement</t>
  </si>
  <si>
    <t>FUNCIONAL HEALTH TECH SOLUCOES EM SAÚDE</t>
  </si>
  <si>
    <t>Prestação de Serviços de Gerenciamento do Benefício Medicamento - Oi Services</t>
  </si>
  <si>
    <t>MEX BENEFICIOS</t>
  </si>
  <si>
    <t>Serviço de Gestão Integrada do Benefício Vale Transporte - Oi</t>
  </si>
  <si>
    <t>0075</t>
  </si>
  <si>
    <t>75ddl após entrega/aceite ou conf.cond.contratual.</t>
  </si>
  <si>
    <t>Solução de Segurança SIEM</t>
  </si>
  <si>
    <t>MARIANA.PINHO@OI.NET.BR</t>
  </si>
  <si>
    <t>TICKET - EDENRED</t>
  </si>
  <si>
    <t>Benefício Auxílio Alimentação, Refeição e outras trilhas - Oi Services</t>
  </si>
  <si>
    <t>METLIFE SEGUROS</t>
  </si>
  <si>
    <t>Seguro de Vida Grupo Oi</t>
  </si>
  <si>
    <t>0015</t>
  </si>
  <si>
    <t>15ddl após entrega/aceite ou conf.cond.contratual</t>
  </si>
  <si>
    <t>SUL AMERICA</t>
  </si>
  <si>
    <t>Plano de Saúde - Oi Services</t>
  </si>
  <si>
    <t>05DL</t>
  </si>
  <si>
    <t>05ddl após entrega/aceite ou conf.cond.contratual.</t>
  </si>
  <si>
    <t>Count of Contrato SAP</t>
  </si>
  <si>
    <t>Row Labels</t>
  </si>
  <si>
    <t>Grand Total</t>
  </si>
  <si>
    <t>Sum of Valor Fixado</t>
  </si>
  <si>
    <t>Sum of Valor Utilizado</t>
  </si>
  <si>
    <t>Sum of Valor Fixado Anualizado</t>
  </si>
  <si>
    <t>Sum of Valor Utilizado Anualizado</t>
  </si>
  <si>
    <t>Sum of Saldo Anualizado</t>
  </si>
  <si>
    <t>Sum of Saldo</t>
  </si>
  <si>
    <t>(Multiple Items)</t>
  </si>
  <si>
    <t>Details for Sum of Valor Fixado - Grupo do Fornecedor: (blank), Data Último Pedido: (blank)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</si>
</sst>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&quot;R$&quot;#,##0.00;\-&quot;R$&quot;#,##0.00;&quot;R$&quot;#,##0.00"/>
    <numFmt numFmtId="165" formatCode="0.00%;\-0.00%;0.00%"/>
  </numFmts>
  <fonts count="3" x14ac:knownFonts="1">
    <font>
      <sz val="11"/>
      <name val="Calibri"/>
    </font>
    <font>
      <sz val="11"/>
      <name val="Calibri"/>
      <family val="2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n">
        <color auto="1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0" fillId="0" borderId="1" xfId="0" applyBorder="1"/>
    <xf numFmtId="14" fontId="0" fillId="0" borderId="0" xfId="0" applyNumberFormat="1"/>
    <xf numFmtId="164" fontId="0" fillId="0" borderId="0" xfId="0" applyNumberFormat="1"/>
    <xf numFmtId="1" fontId="0" fillId="0" borderId="0" xfId="0" applyNumberFormat="1"/>
    <xf numFmtId="165" fontId="0" fillId="0" borderId="0" xfId="0" applyNumberFormat="1"/>
    <xf numFmtId="0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  <xf numFmtId="0" fontId="2" fillId="0" borderId="0" xfId="0" applyFont="1" applyAlignment="1">
      <alignment horizontal="left"/>
    </xf>
    <xf numFmtId="164" fontId="2" fillId="0" borderId="0" xfId="0" applyNumberFormat="1" applyFont="1"/>
    <xf numFmtId="0" fontId="2" fillId="0" borderId="0" xfId="0" applyFont="1"/>
    <xf numFmtId="0" fontId="1" fillId="0" borderId="1" xfId="0" applyFont="1" applyBorder="1"/>
  </cellXfs>
  <cellStyles count="1">
    <cellStyle name="Normal" xfId="0" builtinId="0"/>
  </cellStyles>
  <dxfs count="14">
    <dxf>
      <numFmt numFmtId="19" formatCode="dd/mm/yy"/>
    </dxf>
    <dxf>
      <numFmt numFmtId="19" formatCode="dd/mm/yy"/>
    </dxf>
    <dxf>
      <font>
        <color rgb="FFFF0000"/>
      </font>
    </dxf>
    <dxf>
      <font>
        <color rgb="FFFF0000"/>
      </font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ont>
        <color rgb="FFFF0000"/>
      </font>
    </dxf>
    <dxf>
      <font>
        <color rgb="FFFF0000"/>
      </font>
    </dxf>
    <dxf>
      <font>
        <b/>
        <family val="2"/>
      </font>
    </dxf>
    <dxf>
      <font>
        <b/>
        <family val="2"/>
      </font>
    </dxf>
    <dxf>
      <font>
        <b val="0"/>
      </font>
    </dxf>
    <dxf>
      <font>
        <b val="0"/>
      </font>
    </dxf>
    <dxf>
      <font>
        <b/>
        <family val="2"/>
      </font>
    </dxf>
    <dxf>
      <font>
        <b/>
        <family val="2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pivotCacheDefinition" Target="pivotCache/pivotCacheDefinition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lessandro Barbosa" refreshedDate="46062.480587268517" createdVersion="8" refreshedVersion="8" minRefreshableVersion="3" recordCount="91" xr:uid="{7C577EF0-73B1-1A4D-B5AB-69C46A30E26F}">
  <cacheSource type="worksheet">
    <worksheetSource ref="A1:AE92" sheet=" 04022026"/>
  </cacheSource>
  <cacheFields count="31">
    <cacheField name="Contrato SAP" numFmtId="0">
      <sharedItems containsSemiMixedTypes="0" containsString="0" containsNumber="1" containsInteger="1" minValue="4600058596" maxValue="4600060069"/>
    </cacheField>
    <cacheField name="Requisições em Andamento" numFmtId="0">
      <sharedItems containsString="0" containsBlank="1" containsNumber="1" containsInteger="1" minValue="66051145" maxValue="69879549"/>
    </cacheField>
    <cacheField name="Data Último Pedido" numFmtId="14">
      <sharedItems containsNonDate="0" containsDate="1" containsString="0" containsBlank="1" minDate="2024-12-09T00:00:00" maxDate="2026-01-16T00:00:00" count="11">
        <m/>
        <d v="2024-12-16T00:00:00"/>
        <d v="2026-01-13T00:00:00"/>
        <d v="2026-01-09T00:00:00"/>
        <d v="2026-01-07T00:00:00"/>
        <d v="2026-01-06T00:00:00"/>
        <d v="2026-01-08T00:00:00"/>
        <d v="2026-01-15T00:00:00"/>
        <d v="2024-12-13T00:00:00"/>
        <d v="2026-01-14T00:00:00"/>
        <d v="2024-12-09T00:00:00"/>
      </sharedItems>
    </cacheField>
    <cacheField name="Empresa" numFmtId="0">
      <sharedItems/>
    </cacheField>
    <cacheField name="Código Fornecedor" numFmtId="0">
      <sharedItems containsSemiMixedTypes="0" containsString="0" containsNumber="1" containsInteger="1" minValue="101091" maxValue="3047915"/>
    </cacheField>
    <cacheField name="Grupo do Fornecedor" numFmtId="0">
      <sharedItems containsBlank="1" count="74">
        <s v="SEREDE"/>
        <s v="ACCENTURE"/>
        <s v="ORACLE"/>
        <s v="AMAZON AWS"/>
        <s v="ELEA DIGITAL"/>
        <s v="PTLS"/>
        <s v="PARK PLACE"/>
        <s v="SOVOS COMPLIANCE"/>
        <s v="INGRAM MICRO"/>
        <s v="GOOGLE"/>
        <s v="IBM"/>
        <s v="PROAAI"/>
        <s v="ADISTEC"/>
        <s v="GLOBALWEB"/>
        <s v="V8 CONSULTING"/>
        <s v="NEC"/>
        <s v="DHAUZ"/>
        <s v="CLEARTECH"/>
        <s v="VIPERZERO"/>
        <s v="SONDA"/>
        <s v="VORTEX IT SECURITY"/>
        <s v="MINSAIT"/>
        <s v="SQUADRA"/>
        <s v="AMERICA TECNOLOGIA DE INFORMATICA"/>
        <s v="AKROSS"/>
        <s v="NTT DATA"/>
        <s v="SEK SECURITY ECOSYSTEM KNOWLEDGE"/>
        <s v="GAT"/>
        <s v="BETTA SOLUCOES DE ATENDIMENTO"/>
        <s v="ACORP"/>
        <s v="TRDT"/>
        <s v="TROPICO"/>
        <s v="COGNYTE"/>
        <s v="SERASA"/>
        <s v="3CON"/>
        <m/>
        <s v="FUNDACAO CPQD"/>
        <s v="BWSEC (BE WELCOME SECURITY)"/>
        <s v="SALESFORCE"/>
        <s v="ASSESSO INFORMATICA"/>
        <s v="ASCENTY TELECOMUNICACOES"/>
        <s v="FIREMON LLC"/>
        <s v="A5 SOLUTIONS"/>
        <s v="TRIAD INTEGRATION"/>
        <s v="E-SAFER"/>
        <s v="MICROSOFT"/>
        <s v="DOCUSIGN"/>
        <s v="RIGHLY COMPUTADORES"/>
        <s v="TAHTO - BRASIL TELECOM CALL CENTER"/>
        <s v="NGN TELECOM"/>
        <s v="TIM"/>
        <s v="DECISION"/>
        <s v="ZABBIX"/>
        <s v="MED-RIO"/>
        <s v="COLUMBIA STORAGE INTEGRACAO"/>
        <s v="OI MOVEL"/>
        <s v="ICTS"/>
        <s v="L3 SOFTWARE"/>
        <s v="MARSH CORRETORA DE SEGUROS"/>
        <s v="MONDRI"/>
        <s v="GUPY RECRUTAMENTO"/>
        <s v="GMO GLOBALSIGN"/>
        <s v="TECHBIZ FORENSE DIGITAL"/>
        <s v="WORKERS"/>
        <s v="ENERGIE SERVICOS E GESTAO NUTRICIONAL"/>
        <s v="DUAL SAÚDE INTEGRADA"/>
        <s v="NUBE"/>
        <s v="3ELOS"/>
        <s v="MERCADO ELETRONICO"/>
        <s v="FUNCIONAL HEALTH TECH SOLUCOES EM SAÚDE"/>
        <s v="MEX BENEFICIOS"/>
        <s v="TICKET - EDENRED"/>
        <s v="METLIFE SEGUROS"/>
        <s v="SUL AMERICA"/>
      </sharedItems>
    </cacheField>
    <cacheField name="Objeto" numFmtId="0">
      <sharedItems/>
    </cacheField>
    <cacheField name="Início do Prazo" numFmtId="14">
      <sharedItems containsSemiMixedTypes="0" containsNonDate="0" containsDate="1" containsString="0" minDate="2010-01-01T00:00:00" maxDate="2025-12-06T00:00:00"/>
    </cacheField>
    <cacheField name="Fim da Validade" numFmtId="14">
      <sharedItems containsSemiMixedTypes="0" containsNonDate="0" containsDate="1" containsString="0" minDate="2026-01-05T00:00:00" maxDate="2029-09-01T00:00:00"/>
    </cacheField>
    <cacheField name="Valor Fixado" numFmtId="164">
      <sharedItems containsSemiMixedTypes="0" containsString="0" containsNumber="1" minValue="0.01" maxValue="50363242.740000002"/>
    </cacheField>
    <cacheField name="Valor Utilizado" numFmtId="164">
      <sharedItems containsSemiMixedTypes="0" containsString="0" containsNumber="1" minValue="0" maxValue="47077929.700000003"/>
    </cacheField>
    <cacheField name="Saldo" numFmtId="164">
      <sharedItems containsSemiMixedTypes="0" containsString="0" containsNumber="1" minValue="0" maxValue="21715173.550000001"/>
    </cacheField>
    <cacheField name="Diretoria N1" numFmtId="0">
      <sharedItems/>
    </cacheField>
    <cacheField name="Diretoria N2" numFmtId="0">
      <sharedItems/>
    </cacheField>
    <cacheField name="Diretor" numFmtId="0">
      <sharedItems/>
    </cacheField>
    <cacheField name="E-mail do Gestor" numFmtId="0">
      <sharedItems/>
    </cacheField>
    <cacheField name="Gerência" numFmtId="0">
      <sharedItems/>
    </cacheField>
    <cacheField name="Comprador" numFmtId="0">
      <sharedItems containsBlank="1"/>
    </cacheField>
    <cacheField name="Vigência" numFmtId="1">
      <sharedItems containsSemiMixedTypes="0" containsString="0" containsNumber="1" containsInteger="1" minValue="10" maxValue="208"/>
    </cacheField>
    <cacheField name="Valor Fixado Anualizado" numFmtId="164">
      <sharedItems containsSemiMixedTypes="0" containsString="0" containsNumber="1" minValue="8.571428571428571E-4" maxValue="16787747.579999998"/>
    </cacheField>
    <cacheField name="Valor Utilizado Anualizado" numFmtId="164">
      <sharedItems containsSemiMixedTypes="0" containsString="0" containsNumber="1" minValue="0" maxValue="15692643.233333336"/>
    </cacheField>
    <cacheField name="Saldo Anualizado" numFmtId="164">
      <sharedItems containsSemiMixedTypes="0" containsString="0" containsNumber="1" minValue="0" maxValue="9818925.0549999997"/>
    </cacheField>
    <cacheField name="Utilizado + Saldo Anual" numFmtId="164">
      <sharedItems containsSemiMixedTypes="0" containsString="0" containsNumber="1" minValue="8.571428571428571E-4" maxValue="16787747.580000002"/>
    </cacheField>
    <cacheField name="Condição de Pagamento" numFmtId="0">
      <sharedItems/>
    </cacheField>
    <cacheField name="Descrição da Condição de Pagamento" numFmtId="0">
      <sharedItems/>
    </cacheField>
    <cacheField name="Organização de Compras" numFmtId="0">
      <sharedItems/>
    </cacheField>
    <cacheField name="Grupo de Compras" numFmtId="0">
      <sharedItems/>
    </cacheField>
    <cacheField name="Moeda" numFmtId="0">
      <sharedItems/>
    </cacheField>
    <cacheField name="Tipo de Custo" numFmtId="0">
      <sharedItems/>
    </cacheField>
    <cacheField name="Percentual Capex" numFmtId="165">
      <sharedItems containsSemiMixedTypes="0" containsString="0" containsNumber="1" containsInteger="1" minValue="0" maxValue="0"/>
    </cacheField>
    <cacheField name="Percentual Opex" numFmtId="165">
      <sharedItems containsSemiMixedTypes="0" containsString="0" containsNumber="1" containsInteger="1" minValue="0" maxValue="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91">
  <r>
    <n v="4600058742"/>
    <m/>
    <x v="0"/>
    <s v="CCOX"/>
    <n v="166504"/>
    <x v="0"/>
    <s v="BPO Serede"/>
    <d v="2023-02-09T00:00:00"/>
    <d v="2026-02-09T00:00:00"/>
    <n v="50363242.740000002"/>
    <n v="47077929.700000003"/>
    <n v="3285313.04"/>
    <s v="OPERACOES DE REDE E SI"/>
    <s v="DESEMPENHO E ECOSSISTEMA DE PARCEIROS"/>
    <s v="GUSTAVO ROBERTO BRAMBILA"/>
    <s v="priscila@oi.net.br"/>
    <s v="COMPRAS CORPORATIVAS"/>
    <s v="VERONICA PEREIRA DA ROCHA AZEVEDO"/>
    <n v="36"/>
    <n v="16787747.579999998"/>
    <n v="15692643.233333336"/>
    <n v="1095104.3466666667"/>
    <n v="16787747.580000002"/>
    <s v="0010"/>
    <s v="9 dias após a entrega da fatura com desconto de 6%"/>
    <s v="OCCO"/>
    <s v="N02"/>
    <s v="BRL"/>
    <s v="SEM PEDIDOS"/>
    <n v="0"/>
    <n v="0"/>
  </r>
  <r>
    <n v="4600058664"/>
    <m/>
    <x v="1"/>
    <s v="CCOX"/>
    <n v="103467"/>
    <x v="1"/>
    <s v="BPO"/>
    <d v="2024-12-01T00:00:00"/>
    <d v="2026-12-31T00:00:00"/>
    <n v="31864109.760000002"/>
    <n v="12226259.65"/>
    <n v="19637850.109999999"/>
    <s v="FINANCAS E RELACOES COM INVESTIDORES"/>
    <s v="CONTROLADORIA"/>
    <s v="RODRIGO CALDAS DE TOLEDO AGUIAR"/>
    <s v="patricia.gouveia@oi.net.br"/>
    <s v="COMPRAS CORPORATIVAS"/>
    <s v="ANELISE HUFF"/>
    <n v="24"/>
    <n v="15932054.880000001"/>
    <n v="6113129.8250000002"/>
    <n v="9818925.0549999997"/>
    <n v="15932054.879999999"/>
    <s v="0001"/>
    <s v="Pagto imediato"/>
    <s v="OCCO"/>
    <s v="N02"/>
    <s v="BRL"/>
    <s v="OPEX"/>
    <n v="0"/>
    <n v="1"/>
  </r>
  <r>
    <n v="4600060069"/>
    <m/>
    <x v="0"/>
    <s v="CCOX"/>
    <n v="101745"/>
    <x v="2"/>
    <s v="Pagamento ano 2025 - Escopo OCI - Distrato"/>
    <d v="2025-01-01T00:00:00"/>
    <d v="2026-01-31T00:00:00"/>
    <n v="9308164.0500000007"/>
    <n v="9308164.0500000007"/>
    <n v="0"/>
    <s v="TECNOLOGIA"/>
    <s v="DATA ANALYTICS E GOVERNANCA"/>
    <s v="CAIO MARCIO GUSMON"/>
    <s v="daniellerodrigues@oi.net.br"/>
    <s v="COMPRAS INDIRETAS"/>
    <m/>
    <n v="12"/>
    <n v="9308164.0500000007"/>
    <n v="9308164.0500000007"/>
    <n v="0"/>
    <n v="9308164.0500000007"/>
    <s v="0001"/>
    <s v="Pagto imediato"/>
    <s v="OCCO"/>
    <s v="N07"/>
    <s v="BRL"/>
    <s v="SEM PEDIDOS"/>
    <n v="0"/>
    <n v="0"/>
  </r>
  <r>
    <n v="4600058741"/>
    <n v="68673934"/>
    <x v="2"/>
    <s v="CCOX"/>
    <n v="3037543"/>
    <x v="3"/>
    <s v="Serviços de Cloud AWS"/>
    <d v="2023-02-01T00:00:00"/>
    <d v="2026-01-31T00:00:00"/>
    <n v="22873056.829999998"/>
    <n v="13327570.789999999"/>
    <n v="9545486.0399999991"/>
    <s v="TECNOLOGIA"/>
    <s v="DATA ANALYTICS E GOVERNANCA"/>
    <s v="CAIO MARCIO GUSMON"/>
    <s v="tatiana.almeida@oi.net.br"/>
    <s v="COMPRAS DIRETAS"/>
    <s v="VERONICA PEREIRA DA ROCHA AZEVEDO"/>
    <n v="35"/>
    <n v="7842190.9131428562"/>
    <n v="4569452.8422857141"/>
    <n v="3272738.0708571426"/>
    <n v="7842190.9131428562"/>
    <s v="0030"/>
    <s v="30ddl após entrega/aceite ou conf.cond.contratual"/>
    <s v="OCCO"/>
    <s v="N04"/>
    <s v="BRL"/>
    <s v="OPEX"/>
    <n v="0"/>
    <n v="1"/>
  </r>
  <r>
    <n v="4600058671"/>
    <n v="68243769"/>
    <x v="2"/>
    <s v="CCOX"/>
    <n v="3036653"/>
    <x v="4"/>
    <s v="Este novo instrumento jurídico substitui o contrato INTERCOMPANY de 01/09/2020 - antigo contrato da OI S.A 4600052690 -"/>
    <d v="2021-03-12T00:00:00"/>
    <d v="2026-03-11T00:00:00"/>
    <n v="35256459.57"/>
    <n v="13541286.02"/>
    <n v="21715173.550000001"/>
    <s v="FINANCAS E RELACOES COM INVESTIDORES"/>
    <s v="CONTROLADORIA"/>
    <s v="RODRIGO CALDAS DE TOLEDO AGUIAR"/>
    <s v="tatiana.cardozo@oi.net.br"/>
    <s v="COMPRAS INDIRETAS"/>
    <s v="WAGNER FERREIRA LOPES"/>
    <n v="60"/>
    <n v="7051291.9140000008"/>
    <n v="2708257.2040000004"/>
    <n v="4343034.71"/>
    <n v="7051291.9140000008"/>
    <s v="02BB"/>
    <s v="Boleto Bancário - Á Vista"/>
    <s v="OCRO"/>
    <s v="F14"/>
    <s v="BRL"/>
    <s v="OPEX"/>
    <n v="0"/>
    <n v="1"/>
  </r>
  <r>
    <n v="4600058677"/>
    <m/>
    <x v="0"/>
    <s v="CCOX"/>
    <n v="185065"/>
    <x v="5"/>
    <s v="Suporte e Manutenção Licenças EA"/>
    <d v="2021-06-01T00:00:00"/>
    <d v="2026-05-31T00:00:00"/>
    <n v="22565409.09"/>
    <n v="9546629.0999999996"/>
    <n v="13018779.99"/>
    <s v="TECNOLOGIA"/>
    <s v="DATA ANALYTICS E GOVERNANCA"/>
    <s v="CAIO MARCIO GUSMON"/>
    <s v="tatiana.almeida@oi.net.br"/>
    <s v="COMPRAS DIRETAS"/>
    <s v="KATINE MULLER KLUPPELL"/>
    <n v="59"/>
    <n v="4589574.7301694909"/>
    <n v="1941687.274576271"/>
    <n v="2647887.4555932204"/>
    <n v="4589574.7301694918"/>
    <s v="0090"/>
    <s v="90ddl após entrega/aceite ou conf.cond.contratual."/>
    <s v="OCCO"/>
    <s v="N04"/>
    <s v="BRL"/>
    <s v="SEM PEDIDOS"/>
    <n v="0"/>
    <n v="0"/>
  </r>
  <r>
    <n v="4600059997"/>
    <m/>
    <x v="3"/>
    <s v="CCOX"/>
    <n v="103862"/>
    <x v="6"/>
    <s v="Manutenção e Suporte de Hardware Multivendor - Oi Services"/>
    <d v="2025-09-01T00:00:00"/>
    <d v="2029-08-31T00:00:00"/>
    <n v="13933471.029999999"/>
    <n v="1812689.46"/>
    <n v="12120781.57"/>
    <s v="TECNOLOGIA"/>
    <s v="DATA ANALYTICS E GOVERNANCA"/>
    <s v="CAIO MARCIO GUSMON"/>
    <s v="daniellerodrigues@oi.net.br"/>
    <s v="COMPRAS CORPORATIVAS"/>
    <s v="VANESSA DE OLIVEIRA BUENO"/>
    <n v="47"/>
    <n v="3557481.9651063825"/>
    <n v="462814.33021276596"/>
    <n v="3094667.6348936171"/>
    <n v="3557481.965106383"/>
    <s v="0060"/>
    <s v="60ddl após entrega/aceite ou conf.cond.contratual."/>
    <s v="OCCO"/>
    <s v="N02"/>
    <s v="BRL"/>
    <s v="OPEX"/>
    <n v="0"/>
    <n v="1"/>
  </r>
  <r>
    <n v="4600059423"/>
    <n v="69143440"/>
    <x v="0"/>
    <s v="CCOX"/>
    <n v="3047102"/>
    <x v="7"/>
    <s v="E-Billing Corporativo"/>
    <d v="2025-01-06T00:00:00"/>
    <d v="2026-01-05T00:00:00"/>
    <n v="3360000"/>
    <n v="3117320.88"/>
    <n v="242679.12"/>
    <s v="FINANCAS E RELACOES COM INVESTIDORES"/>
    <s v="CONTROLADORIA"/>
    <s v="RODRIGO CALDAS DE TOLEDO AGUIAR"/>
    <s v="pedro.lauand@oi.net.br"/>
    <s v="COMPRAS CORPORATIVAS"/>
    <m/>
    <n v="12"/>
    <n v="3360000"/>
    <n v="3117320.88"/>
    <n v="242679.12"/>
    <n v="3360000"/>
    <s v="0060"/>
    <s v="60ddl após entrega/aceite ou conf.cond.contratual."/>
    <s v="OCCO"/>
    <s v="N02"/>
    <s v="BRL"/>
    <s v="SEM PEDIDOS"/>
    <n v="0"/>
    <n v="0"/>
  </r>
  <r>
    <n v="4600060062"/>
    <m/>
    <x v="0"/>
    <s v="CCOX"/>
    <n v="131461"/>
    <x v="8"/>
    <s v="Licenciamento Citrix - Subscrição"/>
    <d v="2025-10-31T00:00:00"/>
    <d v="2026-10-30T00:00:00"/>
    <n v="3159287.99"/>
    <n v="3159287.99"/>
    <n v="0"/>
    <s v="TECNOLOGIA"/>
    <s v="DATA ANALYTICS E GOVERNANCA"/>
    <s v="CAIO MARCIO GUSMON"/>
    <s v="daniellerodrigues@oi.net.br"/>
    <s v="COMPRAS INDIRETAS"/>
    <s v="VANESSA DE OLIVEIRA BUENO"/>
    <n v="12"/>
    <n v="3159287.99"/>
    <n v="3159287.99"/>
    <n v="0"/>
    <n v="3159287.99"/>
    <s v="0001"/>
    <s v="Pagto imediato"/>
    <s v="OCCO"/>
    <s v="N07"/>
    <s v="BRL"/>
    <s v="SEM PEDIDOS"/>
    <n v="0"/>
    <n v="0"/>
  </r>
  <r>
    <n v="4600059937"/>
    <m/>
    <x v="4"/>
    <s v="CCOX"/>
    <n v="3036529"/>
    <x v="9"/>
    <s v="Contratação do GCP Data Analytics"/>
    <d v="2025-07-29T00:00:00"/>
    <d v="2026-07-28T00:00:00"/>
    <n v="2750000"/>
    <n v="152626.51"/>
    <n v="2597373.4900000002"/>
    <s v="TECNOLOGIA"/>
    <s v="DATA ANALYTICS E GOVERNANCA"/>
    <s v="CAIO MARCIO GUSMON"/>
    <s v="daniellerodrigues@oi.net.br"/>
    <s v="COMPRAS CORPORATIVAS"/>
    <s v="VANESSA DE OLIVEIRA BUENO"/>
    <n v="12"/>
    <n v="2750000"/>
    <n v="152626.51"/>
    <n v="2597373.4900000002"/>
    <n v="2750000"/>
    <s v="0030"/>
    <s v="30ddl após entrega/aceite ou conf.cond.contratual"/>
    <s v="OCCO"/>
    <s v="N02"/>
    <s v="BRL"/>
    <s v="OPEX"/>
    <n v="0"/>
    <n v="1"/>
  </r>
  <r>
    <n v="4600058669"/>
    <m/>
    <x v="5"/>
    <s v="CCOX"/>
    <n v="109828"/>
    <x v="10"/>
    <s v="Demandas extra baseline - Torre IBM"/>
    <d v="2020-12-23T00:00:00"/>
    <d v="2026-01-31T00:00:00"/>
    <n v="13183380.73"/>
    <n v="7691838.4800000004"/>
    <n v="5491542.25"/>
    <s v="TECNOLOGIA"/>
    <s v="DATA ANALYTICS E GOVERNANCA"/>
    <s v="CAIO MARCIO GUSMON"/>
    <s v="tatiana.almeida@oi.net.br"/>
    <s v="COMPRAS CORPORATIVAS"/>
    <m/>
    <n v="61"/>
    <n v="2593451.9468852459"/>
    <n v="1513148.553442623"/>
    <n v="1080303.3934426229"/>
    <n v="2593451.9468852459"/>
    <s v="0045"/>
    <s v="45ddl após entrega/aceite ou conf.cond.contratual."/>
    <s v="OCCO"/>
    <s v="N02"/>
    <s v="BRL"/>
    <s v="OPEX"/>
    <n v="0"/>
    <n v="1"/>
  </r>
  <r>
    <n v="4600059141"/>
    <m/>
    <x v="0"/>
    <s v="CCOX"/>
    <n v="3045038"/>
    <x v="11"/>
    <s v="Licenciamento Watson"/>
    <d v="2025-01-01T00:00:00"/>
    <d v="2026-01-20T00:00:00"/>
    <n v="2590977.56"/>
    <n v="2329230.75"/>
    <n v="261746.81"/>
    <s v="TECNOLOGIA"/>
    <s v="DATA ANALYTICS E GOVERNANCA"/>
    <s v="CAIO MARCIO GUSMON"/>
    <s v="tatiana.almeida@oi.net.br"/>
    <s v="COMPRAS CORPORATIVAS"/>
    <m/>
    <n v="12"/>
    <n v="2590977.56"/>
    <n v="2329230.75"/>
    <n v="261746.81"/>
    <n v="2590977.56"/>
    <s v="0030"/>
    <s v="30ddl após entrega/aceite ou conf.cond.contratual"/>
    <s v="CCOX"/>
    <s v="N02"/>
    <s v="BRL"/>
    <s v="SEM PEDIDOS"/>
    <n v="0"/>
    <n v="0"/>
  </r>
  <r>
    <n v="4600058774"/>
    <m/>
    <x v="0"/>
    <s v="CCOX"/>
    <n v="3000082"/>
    <x v="12"/>
    <s v="Licenciamento e Suporte Veritas"/>
    <d v="2023-12-14T00:00:00"/>
    <d v="2027-02-28T00:00:00"/>
    <n v="7478587.46"/>
    <n v="3608400"/>
    <n v="3870187.46"/>
    <s v="TECNOLOGIA"/>
    <s v="DATA ANALYTICS E GOVERNANCA"/>
    <s v="CAIO MARCIO GUSMON"/>
    <s v="tatiana.almeida@oi.net.br"/>
    <s v="COMPRAS DIRETAS"/>
    <s v="KATINE MULLER KLUPPELL"/>
    <n v="38"/>
    <n v="2361659.1978947367"/>
    <n v="1139494.7368421052"/>
    <n v="1222164.4610526315"/>
    <n v="2361659.1978947367"/>
    <s v="0060"/>
    <s v="60ddl após entrega/aceite ou conf.cond.contratual."/>
    <s v="OCCO"/>
    <s v="N04"/>
    <s v="BRL"/>
    <s v="SEM PEDIDOS"/>
    <n v="0"/>
    <n v="0"/>
  </r>
  <r>
    <n v="4600058696"/>
    <m/>
    <x v="0"/>
    <s v="CCOX"/>
    <n v="182685"/>
    <x v="13"/>
    <s v="Serviços especializados em infraestrutura de TI"/>
    <d v="2022-07-14T00:00:00"/>
    <d v="2026-07-01T00:00:00"/>
    <n v="8939654.1799999997"/>
    <n v="3825479.15"/>
    <n v="5114175.03"/>
    <s v="TECNOLOGIA"/>
    <s v="DATA ANALYTICS E GOVERNANCA"/>
    <s v="CAIO MARCIO GUSMON"/>
    <s v="tatiana.almeida@oi.net.br"/>
    <s v="COMPRAS INDIRETAS"/>
    <s v="CLARICE EULALIA KLEM CHAVES"/>
    <n v="48"/>
    <n v="2234913.5449999999"/>
    <n v="956369.78749999998"/>
    <n v="1278543.7575000001"/>
    <n v="2234913.5449999999"/>
    <s v="0030"/>
    <s v="30ddl após entrega/aceite ou conf.cond.contratual"/>
    <s v="OCCO"/>
    <s v="N07"/>
    <s v="BRL"/>
    <s v="SEM PEDIDOS"/>
    <n v="0"/>
    <n v="0"/>
  </r>
  <r>
    <n v="4600058778"/>
    <m/>
    <x v="0"/>
    <s v="CCOX"/>
    <n v="3024918"/>
    <x v="14"/>
    <s v="Contratação do licenciamento da plataforma Elastic"/>
    <d v="2024-03-07T00:00:00"/>
    <d v="2026-03-07T00:00:00"/>
    <n v="3725971.57"/>
    <n v="614000"/>
    <n v="3111971.57"/>
    <s v="TECNOLOGIA"/>
    <s v="DATA ANALYTICS E GOVERNANCA"/>
    <s v="CAIO MARCIO GUSMON"/>
    <s v="tatiana.almeida@oi.net.br"/>
    <s v="COMPRAS CORPORATIVAS"/>
    <s v="VANESSA DE OLIVEIRA BUENO"/>
    <n v="24"/>
    <n v="1862985.7849999999"/>
    <n v="307000"/>
    <n v="1555985.7849999999"/>
    <n v="1862985.7849999999"/>
    <s v="0030"/>
    <s v="30ddl após entrega/aceite ou conf.cond.contratual"/>
    <s v="OCCO"/>
    <s v="N02"/>
    <s v="BRL"/>
    <s v="SEM PEDIDOS"/>
    <n v="0"/>
    <n v="0"/>
  </r>
  <r>
    <n v="4600058730"/>
    <m/>
    <x v="0"/>
    <s v="CCOX"/>
    <n v="101702"/>
    <x v="15"/>
    <s v="Roteadores NGN - Oi Services"/>
    <d v="2022-08-24T00:00:00"/>
    <d v="2026-06-30T00:00:00"/>
    <n v="6749625.7699999996"/>
    <n v="0"/>
    <n v="6749625.7699999996"/>
    <s v="OPERACOES DE REDE E SI"/>
    <s v="OPERACOES B2C"/>
    <s v="GUSTAVO ROBERTO BRAMBILA"/>
    <s v="anatoly.cardoso@oi.net.br"/>
    <s v="COMPRAS CORPORATIVAS"/>
    <s v="VERONICA PEREIRA DA ROCHA AZEVEDO"/>
    <n v="46"/>
    <n v="1760771.94"/>
    <n v="0"/>
    <n v="1760771.94"/>
    <n v="1760771.94"/>
    <s v="0030"/>
    <s v="30ddl após entrega/aceite ou conf.cond.contratual"/>
    <s v="OCCO"/>
    <s v="N02"/>
    <s v="BRL"/>
    <s v="SEM PEDIDOS"/>
    <n v="0"/>
    <n v="0"/>
  </r>
  <r>
    <n v="4600059806"/>
    <m/>
    <x v="0"/>
    <s v="CCOX"/>
    <n v="3043777"/>
    <x v="16"/>
    <s v="Suporte e sustentação às ferramentas de OSS, automações, RPAs"/>
    <d v="2025-07-01T00:00:00"/>
    <d v="2026-06-30T00:00:00"/>
    <n v="1520532"/>
    <n v="1080452.97"/>
    <n v="440079.03"/>
    <s v="OPERACOES DE REDE E SI"/>
    <s v="OPERACOES B2C"/>
    <s v="GUSTAVO ROBERTO BRAMBILA"/>
    <s v="gustavo.cortez@oi.net.br"/>
    <s v="COMPRAS CORPORATIVAS"/>
    <s v="CLARICE EULALIA KLEM CHAVES"/>
    <n v="11"/>
    <n v="1520532"/>
    <n v="1080452.97"/>
    <n v="440079.03"/>
    <n v="1520532"/>
    <s v="0030"/>
    <s v="30ddl após entrega/aceite ou conf.cond.contratual"/>
    <s v="OCCO"/>
    <s v="N02"/>
    <s v="BRL"/>
    <s v="SEM PEDIDOS"/>
    <n v="0"/>
    <n v="0"/>
  </r>
  <r>
    <n v="4600058620"/>
    <m/>
    <x v="0"/>
    <s v="CCOX"/>
    <n v="110268"/>
    <x v="17"/>
    <s v="Cleartech - Detraf"/>
    <d v="2015-07-01T00:00:00"/>
    <d v="2027-08-31T00:00:00"/>
    <n v="17160532.449999999"/>
    <n v="7295370"/>
    <n v="9865162.4499999993"/>
    <s v="FINANCAS E RELACOES COM INVESTIDORES"/>
    <s v="CONTROLADORIA"/>
    <s v="RODRIGO CALDAS DE TOLEDO AGUIAR"/>
    <s v="pedro.lauand@oi.net.br"/>
    <s v="COMPRAS CORPORATIVAS"/>
    <s v="CLARICE EULALIA KLEM CHAVES"/>
    <n v="145"/>
    <n v="1420181.9958620688"/>
    <n v="603754.75862068962"/>
    <n v="816427.23724137922"/>
    <n v="1420181.9958620688"/>
    <s v="0035"/>
    <s v="35ddl após entrega/aceite ou conf.cond.contratual"/>
    <s v="OCCO"/>
    <s v="N02"/>
    <s v="BRL"/>
    <s v="SEM PEDIDOS"/>
    <n v="0"/>
    <n v="0"/>
  </r>
  <r>
    <n v="4600058726"/>
    <m/>
    <x v="6"/>
    <s v="CCOX"/>
    <n v="3041519"/>
    <x v="18"/>
    <s v="Prestação de Serviços de suporte do JETL e Desenvolvimento de Melhorias no Software - Oi Services"/>
    <d v="2023-01-03T00:00:00"/>
    <d v="2027-01-01T00:00:00"/>
    <n v="5650208.9900000002"/>
    <n v="4985637.84"/>
    <n v="664571.15"/>
    <s v="TECNOLOGIA"/>
    <s v="DATA ANALYTICS E GOVERNANCA"/>
    <s v="CAIO MARCIO GUSMON"/>
    <s v="tatiana.almeida@oi.net.br"/>
    <s v="COMPRAS CORPORATIVAS"/>
    <s v="VERONICA PEREIRA DA ROCHA AZEVEDO"/>
    <n v="48"/>
    <n v="1412552.2474999998"/>
    <n v="1246409.46"/>
    <n v="166142.78750000001"/>
    <n v="1412552.2475000001"/>
    <s v="0030"/>
    <s v="30ddl após entrega/aceite ou conf.cond.contratual"/>
    <s v="OCCO"/>
    <s v="N02"/>
    <s v="BRL"/>
    <s v="OPEX"/>
    <n v="0"/>
    <n v="1"/>
  </r>
  <r>
    <n v="4600059352"/>
    <m/>
    <x v="5"/>
    <s v="CCOX"/>
    <n v="132975"/>
    <x v="19"/>
    <s v="COMPLY e COMPLY Apoio (sistema específico da Client CO), ECF e REINF - Oi Services"/>
    <d v="2024-07-01T00:00:00"/>
    <d v="2026-06-30T00:00:00"/>
    <n v="2615957.6800000002"/>
    <n v="1725632.7"/>
    <n v="890324.98"/>
    <s v="TECNOLOGIA"/>
    <s v="INFRA E OPERACOES"/>
    <s v="CAIO MARCIO GUSMON"/>
    <s v="wagner.triano@oi.net.br"/>
    <s v="COMPRAS CORPORATIVAS"/>
    <s v="VERONICA PEREIRA DA ROCHA AZEVEDO"/>
    <n v="23"/>
    <n v="1364847.4852173915"/>
    <n v="900330.10434782598"/>
    <n v="464517.38086956518"/>
    <n v="1364847.485217391"/>
    <s v="0090"/>
    <s v="90ddl após entrega/aceite ou conf.cond.contratual."/>
    <s v="OCCO"/>
    <s v="N02"/>
    <s v="BRL"/>
    <s v="OPEX"/>
    <n v="0"/>
    <n v="1"/>
  </r>
  <r>
    <n v="4600060037"/>
    <m/>
    <x v="0"/>
    <s v="CCOX"/>
    <n v="3047915"/>
    <x v="20"/>
    <s v="Aquisição Solução Data Loss Prevention - Licenças Forcepoint"/>
    <d v="2025-12-05T00:00:00"/>
    <d v="2026-12-04T00:00:00"/>
    <n v="1257092.24"/>
    <n v="314273.06"/>
    <n v="942819.18"/>
    <s v="OPERACOES DE REDE E SI"/>
    <s v="SEGURANCA DA INFORMACAO"/>
    <s v="GUSTAVO ROBERTO BRAMBILA"/>
    <s v="nivaldo.santos@oi.net.br"/>
    <s v="COMPRAS CORPORATIVAS"/>
    <s v="RENAN DE ANDRADE CARDOSO FURTADO"/>
    <n v="12"/>
    <n v="1257092.24"/>
    <n v="314273.06"/>
    <n v="942819.18"/>
    <n v="1257092.24"/>
    <s v="0030"/>
    <s v="30ddl após entrega/aceite ou conf.cond.contratual"/>
    <s v="OCCO"/>
    <s v="N02"/>
    <s v="BRL"/>
    <s v="SEM PEDIDOS"/>
    <n v="0"/>
    <n v="0"/>
  </r>
  <r>
    <n v="4600058786"/>
    <m/>
    <x v="6"/>
    <s v="CCOX"/>
    <n v="3036529"/>
    <x v="9"/>
    <s v="Aquisição de Licença API Gee Enterprise Edition"/>
    <d v="2025-07-22T00:00:00"/>
    <d v="2026-07-21T00:00:00"/>
    <n v="1214893.8700000001"/>
    <n v="514514.98"/>
    <n v="700378.89"/>
    <s v="TECNOLOGIA"/>
    <s v="DATA ANALYTICS E GOVERNANCA"/>
    <s v="CAIO MARCIO GUSMON"/>
    <s v="daniellerodrigues@oi.net.br"/>
    <s v="COMPRAS DIRETAS"/>
    <s v="VANESSA DE OLIVEIRA BUENO"/>
    <n v="12"/>
    <n v="1214893.8700000001"/>
    <n v="514514.98"/>
    <n v="700378.89"/>
    <n v="1214893.8700000001"/>
    <s v="0030"/>
    <s v="30ddl após entrega/aceite ou conf.cond.contratual"/>
    <s v="OCCO"/>
    <s v="N04"/>
    <s v="BRL"/>
    <s v="OPEX"/>
    <n v="0"/>
    <n v="1"/>
  </r>
  <r>
    <n v="4600058676"/>
    <m/>
    <x v="3"/>
    <s v="CCOX"/>
    <n v="103862"/>
    <x v="6"/>
    <s v="Suporte e Manutenção Hardware Diversos"/>
    <d v="2021-06-01T00:00:00"/>
    <d v="2026-12-31T00:00:00"/>
    <n v="6661044.5899999999"/>
    <n v="4383795.95"/>
    <n v="2277248.64"/>
    <s v="TECNOLOGIA"/>
    <s v="DATA ANALYTICS E GOVERNANCA"/>
    <s v="CAIO MARCIO GUSMON"/>
    <s v="tatiana.almeida@oi.net.br"/>
    <s v="COMPRAS DIRETAS"/>
    <s v="EM DEFINIÇÃO"/>
    <n v="66"/>
    <n v="1211099.0163636364"/>
    <n v="797053.8090909092"/>
    <n v="414045.20727272728"/>
    <n v="1211099.0163636366"/>
    <s v="0060"/>
    <s v="60ddl após entrega/aceite ou conf.cond.contratual."/>
    <s v="OCCO"/>
    <s v="N04"/>
    <s v="BRL"/>
    <s v="OPEX"/>
    <n v="0"/>
    <n v="1"/>
  </r>
  <r>
    <n v="4600058787"/>
    <m/>
    <x v="4"/>
    <s v="CCOX"/>
    <n v="3036529"/>
    <x v="9"/>
    <s v="Vantage Cloud para o ambiente de Revenue Assurance (Teradata / Google)"/>
    <d v="2024-09-30T00:00:00"/>
    <d v="2026-09-29T00:00:00"/>
    <n v="2389184.9"/>
    <n v="607616.56999999995"/>
    <n v="1781568.33"/>
    <s v="TECNOLOGIA"/>
    <s v="DATA ANALYTICS E GOVERNANCA"/>
    <s v="CAIO MARCIO GUSMON"/>
    <s v="daniellerodrigues@oi.net.br"/>
    <s v="COMPRAS CORPORATIVAS"/>
    <s v="VANESSA DE OLIVEIRA BUENO"/>
    <n v="24"/>
    <n v="1194592.45"/>
    <n v="303808.28499999997"/>
    <n v="890784.16500000004"/>
    <n v="1194592.45"/>
    <s v="0060"/>
    <s v="60ddl após entrega/aceite ou conf.cond.contratual."/>
    <s v="OCCO"/>
    <s v="N02"/>
    <s v="BRL"/>
    <s v="OPEX"/>
    <n v="0"/>
    <n v="1"/>
  </r>
  <r>
    <n v="4600058743"/>
    <m/>
    <x v="0"/>
    <s v="CCOX"/>
    <n v="188885"/>
    <x v="21"/>
    <s v="Serviço de Data Analytics"/>
    <d v="2023-03-02T00:00:00"/>
    <d v="2027-03-01T00:00:00"/>
    <n v="4247134.3600000003"/>
    <n v="1621263.84"/>
    <n v="2625870.52"/>
    <s v="TECNOLOGIA"/>
    <s v="DATA ANALYTICS E GOVERNANCA"/>
    <s v="CAIO MARCIO GUSMON"/>
    <s v="tatiana.almeida@oi.net.br"/>
    <s v="COMPRAS DIRETAS"/>
    <s v="WANDERSON ALVES DINIZ"/>
    <n v="48"/>
    <n v="1061783.5900000001"/>
    <n v="405315.96"/>
    <n v="656467.63"/>
    <n v="1061783.5900000001"/>
    <s v="0060"/>
    <s v="60ddl após entrega/aceite ou conf.cond.contratual."/>
    <s v="OCCO"/>
    <s v="N04"/>
    <s v="BRL"/>
    <s v="SEM PEDIDOS"/>
    <n v="0"/>
    <n v="0"/>
  </r>
  <r>
    <n v="4600059330"/>
    <n v="69879549"/>
    <x v="0"/>
    <s v="CCOX"/>
    <n v="102272"/>
    <x v="22"/>
    <s v="Suporte, Manutenção e serviços do sistema Geosite"/>
    <d v="2024-12-01T00:00:00"/>
    <d v="2026-03-31T00:00:00"/>
    <n v="1291303.78"/>
    <n v="914228.38"/>
    <n v="377075.4"/>
    <s v="TECNOLOGIA"/>
    <s v="DATA ANALYTICS E GOVERNANCA"/>
    <s v="CAIO MARCIO GUSMON"/>
    <s v="tatiana.almeida@oi.net.br"/>
    <s v="COMPRAS CORPORATIVAS"/>
    <s v="VANESSA DE OLIVEIRA BUENO"/>
    <n v="15"/>
    <n v="1033043.024"/>
    <n v="731382.70400000003"/>
    <n v="301660.32000000007"/>
    <n v="1033043.0240000001"/>
    <s v="0060"/>
    <s v="60ddl após entrega/aceite ou conf.cond.contratual."/>
    <s v="OCCO"/>
    <s v="N02"/>
    <s v="BRL"/>
    <s v="SEM PEDIDOS"/>
    <n v="0"/>
    <n v="0"/>
  </r>
  <r>
    <n v="4600058765"/>
    <m/>
    <x v="0"/>
    <s v="CCOX"/>
    <n v="1013176"/>
    <x v="23"/>
    <s v="Suporte Técnico Hardwares Diversos CGR"/>
    <d v="2024-12-01T00:00:00"/>
    <d v="2027-08-10T00:00:00"/>
    <n v="2672555.52"/>
    <n v="1212276.46"/>
    <n v="1460279.06"/>
    <s v="OPERACOES DE REDE E SI"/>
    <s v="OPERACOES B2C"/>
    <s v="GUSTAVO ROBERTO BRAMBILA"/>
    <s v="paulo.camporez@oi.net.br"/>
    <s v="COMPRAS CORPORATIVAS"/>
    <s v="RENAN DE ANDRADE CARDOSO FURTADO"/>
    <n v="32"/>
    <n v="1002208.3200000001"/>
    <n v="454603.67249999999"/>
    <n v="547604.64749999996"/>
    <n v="1002208.32"/>
    <s v="0060"/>
    <s v="60ddl após entrega/aceite ou conf.cond.contratual."/>
    <s v="OCCO"/>
    <s v="N02"/>
    <s v="BRL"/>
    <s v="SEM PEDIDOS"/>
    <n v="0"/>
    <n v="0"/>
  </r>
  <r>
    <n v="4600059993"/>
    <m/>
    <x v="7"/>
    <s v="CCOX"/>
    <n v="3028510"/>
    <x v="24"/>
    <s v="Operaçao e Manutenção Minha OI e OI Colaborador – MobileCare/Akr"/>
    <d v="2025-07-01T00:00:00"/>
    <d v="2026-06-30T00:00:00"/>
    <n v="947969.46"/>
    <n v="400502"/>
    <n v="547467.46"/>
    <s v="TECNOLOGIA"/>
    <s v="DESENVOLVIMENTO E TRANSFORMACAO DO NEGOCIO"/>
    <s v="CAIO MARCIO GUSMON"/>
    <s v="rodrigo.azevedo@oi.net.br"/>
    <s v="COMPRAS CORPORATIVAS"/>
    <s v="JANISE OLIVEIRA DE ALMEIDA"/>
    <n v="11"/>
    <n v="947969.46"/>
    <n v="400502"/>
    <n v="547467.46"/>
    <n v="947969.46"/>
    <s v="0060"/>
    <s v="60ddl após entrega/aceite ou conf.cond.contratual."/>
    <s v="CCOX"/>
    <s v="N02"/>
    <s v="BRL"/>
    <s v="OPEX"/>
    <n v="0"/>
    <n v="1"/>
  </r>
  <r>
    <n v="4600058760"/>
    <m/>
    <x v="0"/>
    <s v="CCOX"/>
    <n v="169912"/>
    <x v="5"/>
    <s v="LPU Red Hat"/>
    <d v="2023-05-01T00:00:00"/>
    <d v="2026-04-30T00:00:00"/>
    <n v="2738590.22"/>
    <n v="2738590.21"/>
    <n v="0.01"/>
    <s v="TECNOLOGIA"/>
    <s v="INFRA E OPERACOES"/>
    <s v="CAIO MARCIO GUSMON"/>
    <s v="rean.machado@oi.net.br"/>
    <s v="COMPRAS CORPORATIVAS"/>
    <s v="VERONICA PEREIRA DA ROCHA AZEVEDO"/>
    <n v="35"/>
    <n v="938945.21828571428"/>
    <n v="938945.21485714288"/>
    <n v="3.4285714285714284E-3"/>
    <n v="938945.21828571428"/>
    <s v="0045"/>
    <s v="45ddl após entrega/aceite ou conf.cond.contratual."/>
    <s v="OCCO"/>
    <s v="N02"/>
    <s v="BRL"/>
    <s v="SEM PEDIDOS"/>
    <n v="0"/>
    <n v="0"/>
  </r>
  <r>
    <n v="4600059995"/>
    <m/>
    <x v="0"/>
    <s v="CCOX"/>
    <n v="3028510"/>
    <x v="24"/>
    <s v="Desenvolvimentos evolutivo e corretivo para a Minha Oi Mobile, App Recarga, Site Móvel, Oi Galera"/>
    <d v="2025-07-01T00:00:00"/>
    <d v="2026-06-30T00:00:00"/>
    <n v="937931.3"/>
    <n v="47915"/>
    <n v="890016.3"/>
    <s v="TECNOLOGIA"/>
    <s v="CICLO DA RECEITA, OSS E APLICACOES CORPORATIVAS"/>
    <s v="CAIO MARCIO GUSMON"/>
    <s v="rodrigo.azevedo@oi.net.br"/>
    <s v="COMPRAS CORPORATIVAS"/>
    <s v="JANISE OLIVEIRA DE ALMEIDA"/>
    <n v="11"/>
    <n v="937931.3"/>
    <n v="47915"/>
    <n v="890016.3"/>
    <n v="937931.3"/>
    <s v="0060"/>
    <s v="60ddl após entrega/aceite ou conf.cond.contratual."/>
    <s v="CCOX"/>
    <s v="N02"/>
    <s v="BRL"/>
    <s v="SEM PEDIDOS"/>
    <n v="0"/>
    <n v="0"/>
  </r>
  <r>
    <n v="4600058770"/>
    <m/>
    <x v="0"/>
    <s v="CCOX"/>
    <n v="169912"/>
    <x v="5"/>
    <s v="Cisco Enterprise Agreement"/>
    <d v="2023-09-28T00:00:00"/>
    <d v="2026-09-27T00:00:00"/>
    <n v="2305841.63"/>
    <n v="2283134.16"/>
    <n v="22707.47"/>
    <s v="OPERACOES DE REDE E SI"/>
    <s v="SEGURANCA DA INFORMACAO"/>
    <s v="GUSTAVO ROBERTO BRAMBILA"/>
    <s v="rodnei.martins@oi.net.br"/>
    <s v="COMPRAS DIRETAS"/>
    <s v="VERONICA PEREIRA DA ROCHA AZEVEDO"/>
    <n v="36"/>
    <n v="768613.87666666659"/>
    <n v="761044.72000000009"/>
    <n v="7569.1566666666668"/>
    <n v="768613.87666666671"/>
    <s v="0090"/>
    <s v="90ddl após entrega/aceite ou conf.cond.contratual."/>
    <s v="OCCO"/>
    <s v="N04"/>
    <s v="BRL"/>
    <s v="SEM PEDIDOS"/>
    <n v="0"/>
    <n v="0"/>
  </r>
  <r>
    <n v="4600059156"/>
    <m/>
    <x v="0"/>
    <s v="CCOX"/>
    <n v="3043280"/>
    <x v="3"/>
    <s v="Serviços de Cloud AWS"/>
    <d v="2025-01-07T00:00:00"/>
    <d v="2026-01-31T00:00:00"/>
    <n v="762125.72225999995"/>
    <n v="737994.59467499994"/>
    <n v="24131.127584999998"/>
    <s v="TECNOLOGIA"/>
    <s v="DATA ANALYTICS E GOVERNANCA"/>
    <s v="CAIO MARCIO GUSMON"/>
    <s v="tatiana.almeida@oi.net.br"/>
    <s v="COMPRAS CORPORATIVAS"/>
    <s v="VERONICA PEREIRA DA ROCHA AZEVEDO"/>
    <n v="12"/>
    <n v="762125.72225999995"/>
    <n v="737994.59467499994"/>
    <n v="24131.127584999998"/>
    <n v="762125.72225999995"/>
    <s v="0030"/>
    <s v="30ddl após entrega/aceite ou conf.cond.contratual"/>
    <s v="OCCO"/>
    <s v="N02"/>
    <s v="USD"/>
    <s v="SEM PEDIDOS"/>
    <n v="0"/>
    <n v="0"/>
  </r>
  <r>
    <n v="4600058740"/>
    <m/>
    <x v="0"/>
    <s v="CCOX"/>
    <n v="184024"/>
    <x v="25"/>
    <s v="Serviços de Cloud e Serviços Profissionais"/>
    <d v="2023-02-01T00:00:00"/>
    <d v="2026-01-31T00:00:00"/>
    <n v="2069370.38"/>
    <n v="786878.7"/>
    <n v="1282491.68"/>
    <s v="TECNOLOGIA"/>
    <s v="DATA ANALYTICS E GOVERNANCA"/>
    <s v="CAIO MARCIO GUSMON"/>
    <s v="tatiana.almeida@oi.net.br"/>
    <s v="COMPRAS DIRETAS"/>
    <m/>
    <n v="35"/>
    <n v="709498.41599999997"/>
    <n v="269786.98285714281"/>
    <n v="439711.43314285716"/>
    <n v="709498.41599999997"/>
    <s v="0090"/>
    <s v="90ddl após entrega/aceite ou conf.cond.contratual."/>
    <s v="OCCO"/>
    <s v="N04"/>
    <s v="BRL"/>
    <s v="SEM PEDIDOS"/>
    <n v="0"/>
    <n v="0"/>
  </r>
  <r>
    <n v="4600058710"/>
    <m/>
    <x v="0"/>
    <s v="CCOX"/>
    <n v="3040726"/>
    <x v="26"/>
    <s v="Serviço de segurança de ambiente"/>
    <d v="2021-12-22T00:00:00"/>
    <d v="2026-06-30T00:00:00"/>
    <n v="2818850.14"/>
    <n v="1911714.76"/>
    <n v="907135.38"/>
    <s v="OPERACOES DE REDE E SI"/>
    <s v="SEGURANCA DA INFORMACAO"/>
    <s v="GUSTAVO ROBERTO BRAMBILA"/>
    <s v="nivaldo.santos@oi.net.br"/>
    <s v="COMPRAS CORPORATIVAS"/>
    <s v="RENAN DE ANDRADE CARDOSO FURTADO"/>
    <n v="54"/>
    <n v="626411.14222222217"/>
    <n v="424825.50222222222"/>
    <n v="201585.64"/>
    <n v="626411.14222222217"/>
    <s v="0060"/>
    <s v="60ddl após entrega/aceite ou conf.cond.contratual."/>
    <s v="OCCO"/>
    <s v="N02"/>
    <s v="BRL"/>
    <s v="SEM PEDIDOS"/>
    <n v="0"/>
    <n v="0"/>
  </r>
  <r>
    <n v="4600059820"/>
    <m/>
    <x v="0"/>
    <s v="CCOX"/>
    <n v="3047720"/>
    <x v="27"/>
    <s v="Ferramenta de Solução de Gestão de Risco e Vulnerabilidades"/>
    <d v="2025-07-04T00:00:00"/>
    <d v="2028-07-03T00:00:00"/>
    <n v="1797405.12"/>
    <n v="637103.04"/>
    <n v="1160302.0800000001"/>
    <s v="OPERACOES DE REDE E SI"/>
    <s v="SEGURANCA DA INFORMACAO"/>
    <s v="GUSTAVO ROBERTO BRAMBILA"/>
    <s v="nivaldo.santos@oi.net.br"/>
    <s v="COMPRAS CORPORATIVAS"/>
    <s v="VERONICA PEREIRA DA ROCHA AZEVEDO"/>
    <n v="36"/>
    <n v="599135.04"/>
    <n v="212367.68000000002"/>
    <n v="386767.36000000004"/>
    <n v="599135.04"/>
    <s v="0030"/>
    <s v="30ddl após entrega/aceite ou conf.cond.contratual"/>
    <s v="OCCO"/>
    <s v="N02"/>
    <s v="BRL"/>
    <s v="SEM PEDIDOS"/>
    <n v="0"/>
    <n v="0"/>
  </r>
  <r>
    <n v="4600058683"/>
    <n v="69425874"/>
    <x v="5"/>
    <s v="CCOX"/>
    <n v="3008204"/>
    <x v="28"/>
    <s v="Session Manager e Context Store / Upgrade Dynamic Routing 3 / Manutenção Pre Routing"/>
    <d v="2021-06-26T00:00:00"/>
    <d v="2026-06-25T00:00:00"/>
    <n v="2840278.94"/>
    <n v="1389833.65"/>
    <n v="1450445.29"/>
    <s v="OPERACOES DE REDE E SI"/>
    <s v="DESEMPENHO E ECOSSISTEMA DE PARCEIROS"/>
    <s v="GUSTAVO ROBERTO BRAMBILA"/>
    <s v="priscila@oi.net.br"/>
    <s v="COMPRAS CORPORATIVAS"/>
    <s v="JANISE OLIVEIRA DE ALMEIDA"/>
    <n v="60"/>
    <n v="568055.78800000006"/>
    <n v="277966.73"/>
    <n v="290089.05800000002"/>
    <n v="568055.78799999994"/>
    <s v="0060"/>
    <s v="60ddl após entrega/aceite ou conf.cond.contratual."/>
    <s v="OCCO"/>
    <s v="N02"/>
    <s v="BRL"/>
    <s v="OPEX"/>
    <n v="0"/>
    <n v="1"/>
  </r>
  <r>
    <n v="4600058766"/>
    <m/>
    <x v="5"/>
    <s v="CCOX"/>
    <n v="3008204"/>
    <x v="28"/>
    <s v="Manutenção do WFM e Gravador NIM 4.1 existente da BTCC e aquisição de licenças"/>
    <d v="2023-06-28T00:00:00"/>
    <d v="2026-06-27T00:00:00"/>
    <n v="1692579.66"/>
    <n v="1158080.82"/>
    <n v="534498.84"/>
    <s v="OPERACOES DE REDE E SI"/>
    <s v="OPERACOES B2C"/>
    <s v="GUSTAVO ROBERTO BRAMBILA"/>
    <s v="rafael.amorim@oi.net.br"/>
    <s v="COMPRAS CORPORATIVAS"/>
    <s v="JANISE OLIVEIRA DE ALMEIDA"/>
    <n v="36"/>
    <n v="564193.22"/>
    <n v="386026.94"/>
    <n v="178166.28"/>
    <n v="564193.22"/>
    <s v="0090"/>
    <s v="90ddl após entrega/aceite ou conf.cond.contratual."/>
    <s v="OCCO"/>
    <s v="N02"/>
    <s v="BRL"/>
    <s v="OPEX"/>
    <n v="0"/>
    <n v="1"/>
  </r>
  <r>
    <n v="4600058724"/>
    <n v="66051145"/>
    <x v="0"/>
    <s v="CCOX"/>
    <n v="129169"/>
    <x v="29"/>
    <s v="Suporte e Manutenção de Licenças Novell Microfocus - Oi Services"/>
    <d v="2022-02-01T00:00:00"/>
    <d v="2026-01-31T00:00:00"/>
    <n v="2079717.36"/>
    <n v="2079717.36"/>
    <n v="0"/>
    <s v="TECNOLOGIA"/>
    <s v="DATA ANALYTICS E GOVERNANCA"/>
    <s v="CAIO MARCIO GUSMON"/>
    <s v="tatiana.almeida@oi.net.br"/>
    <s v="COMPRAS CORPORATIVAS"/>
    <m/>
    <n v="47"/>
    <n v="530991.66638297879"/>
    <n v="530991.66638297879"/>
    <n v="0"/>
    <n v="530991.66638297879"/>
    <s v="0060"/>
    <s v="60ddl após entrega/aceite ou conf.cond.contratual."/>
    <s v="OCCO"/>
    <s v="N02"/>
    <s v="BRL"/>
    <s v="SEM PEDIDOS"/>
    <n v="0"/>
    <n v="0"/>
  </r>
  <r>
    <n v="4600058751"/>
    <m/>
    <x v="4"/>
    <s v="CCOX"/>
    <n v="167547"/>
    <x v="30"/>
    <s v="Pestação dos serviços On-Premises Cloud do ambiente RA/ITX"/>
    <d v="2023-05-18T00:00:00"/>
    <d v="2026-07-20T00:00:00"/>
    <n v="1636443.37"/>
    <n v="504756.09"/>
    <n v="1131687.28"/>
    <s v="TECNOLOGIA"/>
    <s v="DATA ANALYTICS E GOVERNANCA"/>
    <s v="CAIO MARCIO GUSMON"/>
    <s v="daniellerodrigues@oi.net.br"/>
    <s v="COMPRAS CORPORATIVAS"/>
    <s v="VANESSA DE OLIVEIRA BUENO"/>
    <n v="38"/>
    <n v="516771.59052631585"/>
    <n v="159396.66"/>
    <n v="357374.93052631576"/>
    <n v="516771.59052631573"/>
    <s v="0060"/>
    <s v="60ddl após entrega/aceite ou conf.cond.contratual."/>
    <s v="OCCO"/>
    <s v="N02"/>
    <s v="BRL"/>
    <s v="OPEX"/>
    <n v="0"/>
    <n v="1"/>
  </r>
  <r>
    <n v="4600058618"/>
    <m/>
    <x v="0"/>
    <s v="CCOX"/>
    <n v="104072"/>
    <x v="31"/>
    <s v="Suporte Técnico Trópico"/>
    <d v="2015-07-09T00:00:00"/>
    <d v="2026-04-30T00:00:00"/>
    <n v="5155211.7699999996"/>
    <n v="2956896"/>
    <n v="2198315.77"/>
    <s v="OPERACOES DE REDE E SI"/>
    <s v="OPERACOES B2C"/>
    <s v="GUSTAVO ROBERTO BRAMBILA"/>
    <s v="fabricio.ladislau@oi.net.br"/>
    <s v="COMPRAS DIRETAS"/>
    <s v="ELIAKYN DAYAN DE IBANHES"/>
    <n v="129"/>
    <n v="479554.58325581392"/>
    <n v="275060.09302325582"/>
    <n v="204494.49023255816"/>
    <n v="479554.58325581398"/>
    <s v="0060"/>
    <s v="60ddl após entrega/aceite ou conf.cond.contratual."/>
    <s v="OCCO"/>
    <s v="N04"/>
    <s v="BRL"/>
    <s v="SEM PEDIDOS"/>
    <n v="0"/>
    <n v="0"/>
  </r>
  <r>
    <n v="4600058613"/>
    <n v="69033160"/>
    <x v="0"/>
    <s v="CCOX"/>
    <n v="135365"/>
    <x v="32"/>
    <s v="Renovação do contrato de Fábrica de Software dos produtos do Vigia"/>
    <d v="2015-02-01T00:00:00"/>
    <d v="2026-01-31T00:00:00"/>
    <n v="5095537.45"/>
    <n v="0"/>
    <n v="5095537.45"/>
    <s v="TECNOLOGIA"/>
    <s v="DATA ANALYTICS E GOVERNANCA"/>
    <s v="CAIO MARCIO GUSMON"/>
    <s v="tatiana.almeida@oi.net.br"/>
    <s v="COMPRAS DIRETAS"/>
    <m/>
    <n v="131"/>
    <n v="466766.78931297717"/>
    <n v="0"/>
    <n v="466766.78931297717"/>
    <n v="466766.78931297717"/>
    <s v="0060"/>
    <s v="60ddl após entrega/aceite ou conf.cond.contratual."/>
    <s v="OCCO"/>
    <s v="N04"/>
    <s v="BRL"/>
    <s v="SEM PEDIDOS"/>
    <n v="0"/>
    <n v="0"/>
  </r>
  <r>
    <n v="4600058700"/>
    <m/>
    <x v="0"/>
    <s v="CCOX"/>
    <n v="3040172"/>
    <x v="33"/>
    <s v="Renovação Fábrica de Software GED"/>
    <d v="2021-10-19T00:00:00"/>
    <d v="2026-07-18T00:00:00"/>
    <n v="1863207.7"/>
    <n v="409429.75"/>
    <n v="1453777.95"/>
    <s v="TECNOLOGIA"/>
    <s v="CICLO DA RECEITA, OSS E APLICACOES CORPORATIVAS"/>
    <s v="CAIO MARCIO GUSMON"/>
    <s v="vivian.jesus@oi.net.br"/>
    <s v="COMPRAS CORPORATIVAS"/>
    <s v="VERONICA PEREIRA DA ROCHA AZEVEDO"/>
    <n v="57"/>
    <n v="392254.25263157894"/>
    <n v="86195.736842105267"/>
    <n v="306058.51578947366"/>
    <n v="392254.25263157894"/>
    <s v="0030"/>
    <s v="30ddl após entrega/aceite ou conf.cond.contratual"/>
    <s v="OCCO"/>
    <s v="N02"/>
    <s v="BRL"/>
    <s v="SEM PEDIDOS"/>
    <n v="0"/>
    <n v="0"/>
  </r>
  <r>
    <n v="4600058617"/>
    <m/>
    <x v="0"/>
    <s v="CCOX"/>
    <n v="102603"/>
    <x v="34"/>
    <s v="Serviços de célula de qualidade no ambiente do mainframe"/>
    <d v="2023-07-10T00:00:00"/>
    <d v="2026-07-09T00:00:00"/>
    <n v="1166390.6499999999"/>
    <n v="125484.14"/>
    <n v="1040906.51"/>
    <s v="TECNOLOGIA"/>
    <s v="DATA ANALYTICS E GOVERNANCA"/>
    <s v="CAIO MARCIO GUSMON"/>
    <s v="tatiana.almeida@oi.net.br"/>
    <s v="COMPRAS CORPORATIVAS"/>
    <s v="CLARICE EULALIA KLEM CHAVES"/>
    <n v="36"/>
    <n v="388796.8833333333"/>
    <n v="41828.046666666662"/>
    <n v="346968.83666666667"/>
    <n v="388796.8833333333"/>
    <s v="0050"/>
    <s v="50ddl após entrega/aceite ou conf.cond.contratual."/>
    <s v="OCCO"/>
    <s v="N02"/>
    <s v="BRL"/>
    <s v="SEM PEDIDOS"/>
    <n v="0"/>
    <n v="0"/>
  </r>
  <r>
    <n v="4600058727"/>
    <m/>
    <x v="4"/>
    <s v="CCOX"/>
    <n v="3036529"/>
    <x v="9"/>
    <s v="Contrato de reCAPTCHA para os canais digitais"/>
    <d v="2025-06-30T00:00:00"/>
    <d v="2026-06-29T00:00:00"/>
    <n v="368643.07"/>
    <n v="150029.54"/>
    <n v="218613.53"/>
    <s v="TECNOLOGIA"/>
    <s v="DATA ANALYTICS E GOVERNANCA"/>
    <s v="CAIO MARCIO GUSMON"/>
    <s v="daniellerodrigues@oi.net.br"/>
    <s v="COMPRAS CORPORATIVAS"/>
    <s v="VANESSA DE OLIVEIRA BUENO"/>
    <n v="12"/>
    <n v="368643.07"/>
    <n v="150029.54"/>
    <n v="218613.53"/>
    <n v="368643.07"/>
    <s v="0030"/>
    <s v="30ddl após entrega/aceite ou conf.cond.contratual"/>
    <s v="OCCO"/>
    <s v="N02"/>
    <s v="BRL"/>
    <s v="OPEX"/>
    <n v="0"/>
    <n v="1"/>
  </r>
  <r>
    <n v="4600060028"/>
    <m/>
    <x v="0"/>
    <s v="CCOX"/>
    <n v="3047909"/>
    <x v="35"/>
    <s v="Plataforma de Onboarding Digital para novos colaboradores Oi e Serede"/>
    <d v="2025-09-01T00:00:00"/>
    <d v="2026-07-31T00:00:00"/>
    <n v="362703.76"/>
    <n v="32012.34"/>
    <n v="330691.42"/>
    <s v="PESSOAS &amp; CULTURA"/>
    <s v="REMUNERACAO, PLANEJAMENTO E GESTAO"/>
    <s v="MARCOS MENDES"/>
    <s v="valeria.braga@oi.net.br"/>
    <s v="COMPRAS CORPORATIVAS"/>
    <s v="RENAN DE ANDRADE CARDOSO FURTADO"/>
    <n v="10"/>
    <n v="362703.76"/>
    <n v="32012.34"/>
    <n v="330691.42"/>
    <n v="362703.76"/>
    <s v="0060"/>
    <s v="60ddl após entrega/aceite ou conf.cond.contratual."/>
    <s v="CCOX"/>
    <s v="N02"/>
    <s v="BRL"/>
    <s v="SEM PEDIDOS"/>
    <n v="0"/>
    <n v="0"/>
  </r>
  <r>
    <n v="4600058630"/>
    <m/>
    <x v="0"/>
    <s v="CCOX"/>
    <n v="101091"/>
    <x v="36"/>
    <s v="Manutenção corretiva e evolutiva dos sistemas da CPqD"/>
    <d v="2016-03-01T00:00:00"/>
    <d v="2026-02-28T00:00:00"/>
    <n v="3163782.7"/>
    <n v="2952203.82"/>
    <n v="211578.88"/>
    <s v="TECNOLOGIA"/>
    <s v="DATA ANALYTICS E GOVERNANCA"/>
    <s v="CAIO MARCIO GUSMON"/>
    <s v="daniellerodrigues@oi.net.br"/>
    <s v="COMPRAS CORPORATIVAS"/>
    <s v="VANESSA DE OLIVEIRA BUENO"/>
    <n v="119"/>
    <n v="319036.91092436982"/>
    <n v="297701.22554621845"/>
    <n v="21335.685378151262"/>
    <n v="319036.9109243697"/>
    <s v="0090"/>
    <s v="90ddl após entrega/aceite ou conf.cond.contratual."/>
    <s v="OCCO"/>
    <s v="N02"/>
    <s v="BRL"/>
    <s v="SEM PEDIDOS"/>
    <n v="0"/>
    <n v="0"/>
  </r>
  <r>
    <n v="4600058708"/>
    <m/>
    <x v="8"/>
    <s v="CCOX"/>
    <n v="3040507"/>
    <x v="37"/>
    <s v="Solução Endpoint Symantec - Oi Services"/>
    <d v="2022-04-09T00:00:00"/>
    <d v="2026-04-08T00:00:00"/>
    <n v="1256107.8600000001"/>
    <n v="1214919.3899999999"/>
    <n v="41188.47"/>
    <s v="OPERACOES DE REDE E SI"/>
    <s v="SEGURANCA DA INFORMACAO"/>
    <s v="GUSTAVO ROBERTO BRAMBILA"/>
    <s v="nivaldo.santos@oi.net.br"/>
    <s v="COMPRAS CORPORATIVAS"/>
    <s v="VERONICA PEREIRA DA ROCHA AZEVEDO"/>
    <n v="48"/>
    <n v="314026.96500000003"/>
    <n v="303729.84749999997"/>
    <n v="10297.1175"/>
    <n v="314026.96499999997"/>
    <s v="0060"/>
    <s v="60ddl após entrega/aceite ou conf.cond.contratual."/>
    <s v="OCCO"/>
    <s v="N02"/>
    <s v="BRL"/>
    <s v="OPEX"/>
    <n v="0"/>
    <n v="1"/>
  </r>
  <r>
    <n v="4600058737"/>
    <m/>
    <x v="0"/>
    <s v="CCOX"/>
    <n v="3036403"/>
    <x v="38"/>
    <s v="Contrato de Licenças Tableau"/>
    <d v="2022-10-28T00:00:00"/>
    <d v="2026-01-24T00:00:00"/>
    <n v="1015693.19"/>
    <n v="984115.87"/>
    <n v="31577.32"/>
    <s v="TECNOLOGIA"/>
    <s v="DATA ANALYTICS E GOVERNANCA"/>
    <s v="CAIO MARCIO GUSMON"/>
    <s v="tatiana.almeida@oi.net.br"/>
    <s v="COMPRAS CORPORATIVAS"/>
    <m/>
    <n v="39"/>
    <n v="312520.98153846152"/>
    <n v="302804.88307692308"/>
    <n v="9716.0984615384605"/>
    <n v="312520.98153846152"/>
    <s v="0045"/>
    <s v="45ddl após entrega/aceite ou conf.cond.contratual."/>
    <s v="OCCO"/>
    <s v="N02"/>
    <s v="BRL"/>
    <s v="SEM PEDIDOS"/>
    <n v="0"/>
    <n v="0"/>
  </r>
  <r>
    <n v="4600058686"/>
    <m/>
    <x v="4"/>
    <s v="CCOX"/>
    <n v="142809"/>
    <x v="39"/>
    <s v="Suporte e Manutenção das Licenças Data Care"/>
    <d v="2021-08-01T00:00:00"/>
    <d v="2026-07-31T00:00:00"/>
    <n v="1281707.6599999999"/>
    <n v="488092"/>
    <n v="793615.66"/>
    <s v="TECNOLOGIA"/>
    <s v="DATA ANALYTICS E GOVERNANCA"/>
    <s v="CAIO MARCIO GUSMON"/>
    <s v="daniellerodrigues@oi.net.br"/>
    <s v="COMPRAS CORPORATIVAS"/>
    <s v="CLARICE EULALIA KLEM CHAVES"/>
    <n v="59"/>
    <n v="260686.30372881354"/>
    <n v="99272.94915254238"/>
    <n v="161413.35457627117"/>
    <n v="260686.30372881354"/>
    <s v="0045"/>
    <s v="45ddl após entrega/aceite ou conf.cond.contratual."/>
    <s v="OCCO"/>
    <s v="N02"/>
    <s v="BRL"/>
    <s v="OPEX"/>
    <n v="0"/>
    <n v="1"/>
  </r>
  <r>
    <n v="4600058738"/>
    <n v="68249546"/>
    <x v="4"/>
    <s v="CCOX"/>
    <n v="3021654"/>
    <x v="40"/>
    <s v="Serviço de Transmissão de Dados e IP Dedicado"/>
    <d v="2022-11-29T00:00:00"/>
    <d v="2026-01-30T00:00:00"/>
    <n v="813421"/>
    <n v="714677.7"/>
    <n v="98743.3"/>
    <s v="OPERACOES DE REDE E SI"/>
    <s v="DESEMPENHO E ECOSSISTEMA DE PARCEIROS"/>
    <s v="GUSTAVO ROBERTO BRAMBILA"/>
    <s v="priscila@oi.net.br"/>
    <s v="COMPRAS INDIRETAS"/>
    <m/>
    <n v="38"/>
    <n v="256869.78947368421"/>
    <n v="225687.69473684207"/>
    <n v="31182.094736842108"/>
    <n v="256869.78947368418"/>
    <s v="0001"/>
    <s v="Pagto imediato"/>
    <s v="OCCO"/>
    <s v="F14"/>
    <s v="BRL"/>
    <s v="OPEX"/>
    <n v="0"/>
    <n v="1"/>
  </r>
  <r>
    <n v="4600059327"/>
    <m/>
    <x v="0"/>
    <s v="CCOX"/>
    <n v="3047025"/>
    <x v="41"/>
    <s v="Soluções Firemon (SI)"/>
    <d v="2025-04-10T00:00:00"/>
    <d v="2027-04-09T00:00:00"/>
    <n v="502111.12429299997"/>
    <n v="449598.65568000003"/>
    <n v="52512.468612999997"/>
    <s v="OPERACOES DE REDE E SI"/>
    <s v="SEGURANCA DA INFORMACAO"/>
    <s v="GUSTAVO ROBERTO BRAMBILA"/>
    <s v="rodnei.martins@oi.net.br"/>
    <s v="COMPRAS CORPORATIVAS"/>
    <s v="GUSTAVO MELO BRAGA"/>
    <n v="24"/>
    <n v="251055.56214649999"/>
    <n v="224799.32784000001"/>
    <n v="26256.234306499999"/>
    <n v="251055.56214650001"/>
    <s v="0001"/>
    <s v="Pagto imediato"/>
    <s v="OCCO"/>
    <s v="N02"/>
    <s v="USD"/>
    <s v="SEM PEDIDOS"/>
    <n v="0"/>
    <n v="0"/>
  </r>
  <r>
    <n v="4600058633"/>
    <m/>
    <x v="0"/>
    <s v="CCOX"/>
    <n v="188451"/>
    <x v="42"/>
    <s v="Manutenção e suporte URA call center"/>
    <d v="2024-12-01T00:00:00"/>
    <d v="2026-04-30T00:00:00"/>
    <n v="298846.34000000003"/>
    <n v="298846.34000000003"/>
    <n v="0"/>
    <s v="OPERACOES DE REDE E SI"/>
    <s v="OPERACOES B2C"/>
    <s v="GUSTAVO ROBERTO BRAMBILA"/>
    <s v="paulo.camporez@oi.net.br"/>
    <s v="COMPRAS CORPORATIVAS"/>
    <s v="RENAN DE ANDRADE CARDOSO FURTADO"/>
    <n v="16"/>
    <n v="224134.755"/>
    <n v="224134.755"/>
    <n v="0"/>
    <n v="224134.755"/>
    <s v="0060"/>
    <s v="60ddl após entrega/aceite ou conf.cond.contratual."/>
    <s v="OCCO"/>
    <s v="N02"/>
    <s v="BRL"/>
    <s v="SEM PEDIDOS"/>
    <n v="0"/>
    <n v="0"/>
  </r>
  <r>
    <n v="4600058602"/>
    <m/>
    <x v="0"/>
    <s v="CCOX"/>
    <n v="181937"/>
    <x v="43"/>
    <s v="Renovação do Contrato de Fábrica de Software para atendimento ao Co-billing e Repasse - Oi Services"/>
    <d v="2014-02-04T00:00:00"/>
    <d v="2026-06-30T00:00:00"/>
    <n v="2728965.52"/>
    <n v="1878549.98"/>
    <n v="850415.54"/>
    <s v="TECNOLOGIA"/>
    <s v="CICLO DA RECEITA, OSS E APLICACOES CORPORATIVAS"/>
    <s v="CAIO MARCIO GUSMON"/>
    <s v="vivian.jesus@oi.net.br"/>
    <s v="COMPRAS CORPORATIVAS"/>
    <s v="VANESSA DE OLIVEIRA BUENO"/>
    <n v="148"/>
    <n v="221267.47459459462"/>
    <n v="152314.86324324322"/>
    <n v="68952.611351351356"/>
    <n v="221267.47459459456"/>
    <s v="0060"/>
    <s v="60ddl após entrega/aceite ou conf.cond.contratual."/>
    <s v="OCCO"/>
    <s v="N02"/>
    <s v="BRL"/>
    <s v="SEM PEDIDOS"/>
    <n v="0"/>
    <n v="0"/>
  </r>
  <r>
    <n v="4600059656"/>
    <m/>
    <x v="0"/>
    <s v="CCOX"/>
    <n v="3047489"/>
    <x v="44"/>
    <s v="Renovação do contrato de testes de segurança Web"/>
    <d v="2016-03-30T00:00:00"/>
    <d v="2026-06-30T00:00:00"/>
    <n v="2239012.36"/>
    <n v="21120.03"/>
    <n v="2217892.33"/>
    <s v="OPERACOES DE REDE E SI"/>
    <s v="SEGURANCA DA INFORMACAO"/>
    <s v="GUSTAVO ROBERTO BRAMBILA"/>
    <s v="nivaldo.santos@oi.net.br"/>
    <s v="COMPRAS CORPORATIVAS"/>
    <s v="KATINE MULLER KLUPPELL"/>
    <n v="123"/>
    <n v="218440.23024390245"/>
    <n v="2060.4907317073171"/>
    <n v="216379.73951219514"/>
    <n v="218440.23024390245"/>
    <s v="0030"/>
    <s v="30ddl após entrega/aceite ou conf.cond.contratual"/>
    <s v="CCOX"/>
    <s v="N02"/>
    <s v="BRL"/>
    <s v="SEM PEDIDOS"/>
    <n v="0"/>
    <n v="0"/>
  </r>
  <r>
    <n v="4600058692"/>
    <m/>
    <x v="0"/>
    <s v="CCOX"/>
    <n v="167547"/>
    <x v="30"/>
    <s v="Renovação Suporte e Manutenção Teradata."/>
    <d v="2021-08-19T00:00:00"/>
    <d v="2026-12-15T00:00:00"/>
    <n v="1157903.1200000001"/>
    <n v="540833.37"/>
    <n v="617069.75"/>
    <s v="TECNOLOGIA"/>
    <s v="DATA ANALYTICS E GOVERNANCA"/>
    <s v="CAIO MARCIO GUSMON"/>
    <s v="daniellerodrigues@oi.net.br"/>
    <s v="COMPRAS INDIRETAS"/>
    <s v="VANESSA DE OLIVEIRA BUENO"/>
    <n v="64"/>
    <n v="217106.83500000002"/>
    <n v="101406.25687499999"/>
    <n v="115700.578125"/>
    <n v="217106.83499999999"/>
    <s v="0060"/>
    <s v="60ddl após entrega/aceite ou conf.cond.contratual."/>
    <s v="OCCO"/>
    <s v="N07"/>
    <s v="BRL"/>
    <s v="SEM PEDIDOS"/>
    <n v="0"/>
    <n v="0"/>
  </r>
  <r>
    <n v="4600058750"/>
    <m/>
    <x v="0"/>
    <s v="CCOX"/>
    <n v="119569"/>
    <x v="45"/>
    <s v="Suporte Premier Microsoft"/>
    <d v="2023-06-05T00:00:00"/>
    <d v="2026-06-27T00:00:00"/>
    <n v="592865.18999999994"/>
    <n v="592685.18999999994"/>
    <n v="180"/>
    <s v="TECNOLOGIA"/>
    <s v="DATA ANALYTICS E GOVERNANCA"/>
    <s v="CAIO MARCIO GUSMON"/>
    <s v="tatiana.almeida@oi.net.br"/>
    <s v="COMPRAS CORPORATIVAS"/>
    <s v="CLARICE EULALIA KLEM CHAVES"/>
    <n v="36"/>
    <n v="197621.72999999998"/>
    <n v="197561.72999999998"/>
    <n v="60"/>
    <n v="197621.72999999998"/>
    <s v="0060"/>
    <s v="60ddl após entrega/aceite ou conf.cond.contratual."/>
    <s v="OCCO"/>
    <s v="N02"/>
    <s v="BRL"/>
    <s v="SEM PEDIDOS"/>
    <n v="0"/>
    <n v="0"/>
  </r>
  <r>
    <n v="4600059954"/>
    <m/>
    <x v="0"/>
    <s v="CCOX"/>
    <n v="185532"/>
    <x v="46"/>
    <s v="Assinatura Eletrônica"/>
    <d v="2025-07-31T00:00:00"/>
    <d v="2026-07-30T00:00:00"/>
    <n v="178783.11"/>
    <n v="95138.08"/>
    <n v="83645.03"/>
    <s v="TECNOLOGIA"/>
    <s v="CICLO DA RECEITA, OSS E APLICACOES CORPORATIVAS"/>
    <s v="CAIO MARCIO GUSMON"/>
    <s v="vivian.aparecida@oi.net.br"/>
    <s v="COMPRAS CORPORATIVAS"/>
    <s v="JANISE OLIVEIRA DE ALMEIDA"/>
    <n v="12"/>
    <n v="178783.11"/>
    <n v="95138.08"/>
    <n v="83645.03"/>
    <n v="178783.11"/>
    <s v="0030"/>
    <s v="30ddl após entrega/aceite ou conf.cond.contratual"/>
    <s v="CCOX"/>
    <s v="N02"/>
    <s v="BRL"/>
    <s v="SEM PEDIDOS"/>
    <n v="0"/>
    <n v="0"/>
  </r>
  <r>
    <n v="4600059178"/>
    <m/>
    <x v="0"/>
    <s v="CCOX"/>
    <n v="3000989"/>
    <x v="47"/>
    <s v="Prestação de Serviços de Microinformática – TI"/>
    <d v="2025-01-01T00:00:00"/>
    <d v="2026-12-31T00:00:00"/>
    <n v="317907.84000000003"/>
    <n v="0"/>
    <n v="317907.84000000003"/>
    <s v="TECNOLOGIA"/>
    <s v="DATA ANALYTICS E GOVERNANCA"/>
    <s v="CAIO MARCIO GUSMON"/>
    <s v="tatiana.almeida@oi.net.br"/>
    <s v="COMPRAS CORPORATIVAS"/>
    <s v="JANISE OLIVEIRA DE ALMEIDA"/>
    <n v="23"/>
    <n v="165864.95999999999"/>
    <n v="0"/>
    <n v="165864.95999999999"/>
    <n v="165864.95999999999"/>
    <s v="0045"/>
    <s v="45ddl após entrega/aceite ou conf.cond.contratual."/>
    <s v="OCCO"/>
    <s v="N02"/>
    <s v="BRL"/>
    <s v="SEM PEDIDOS"/>
    <n v="0"/>
    <n v="0"/>
  </r>
  <r>
    <n v="4600058754"/>
    <m/>
    <x v="6"/>
    <s v="CCOX"/>
    <n v="176743"/>
    <x v="48"/>
    <s v="BackOffice Serviços de viagens"/>
    <d v="2023-07-01T00:00:00"/>
    <d v="2026-06-30T00:00:00"/>
    <n v="431820.18"/>
    <n v="168160.32"/>
    <n v="263659.86"/>
    <s v="SUPORTE AO NEGOCIO"/>
    <s v="PATRIMONIO"/>
    <s v="DANIEL JUNQUEIRA PINTO HERMETO"/>
    <s v="adriano.israel@oi.net.br"/>
    <s v="COMPRAS CORPORATIVAS"/>
    <s v="ANELISE HUFF"/>
    <n v="35"/>
    <n v="148052.63314285714"/>
    <n v="57654.966857142863"/>
    <n v="90397.66628571428"/>
    <n v="148052.63314285714"/>
    <s v="0060"/>
    <s v="60ddl após entrega/aceite ou conf.cond.contratual."/>
    <s v="OCCO"/>
    <s v="N02"/>
    <s v="BRL"/>
    <s v="OPEX"/>
    <n v="0"/>
    <n v="1"/>
  </r>
  <r>
    <n v="4600058643"/>
    <m/>
    <x v="0"/>
    <s v="CCOX"/>
    <n v="3013461"/>
    <x v="49"/>
    <s v="SOLUÇÃO DE MONIT. UTILIZ. PROBES APP E PROBES SDK"/>
    <d v="2018-05-02T00:00:00"/>
    <d v="2026-04-08T00:00:00"/>
    <n v="1033375.76"/>
    <n v="28423.24"/>
    <n v="1004952.52"/>
    <s v="OPERACOES DE REDE E SI"/>
    <s v="DESEMPENHO E ECOSSISTEMA DE PARCEIROS"/>
    <s v="GUSTAVO ROBERTO BRAMBILA"/>
    <s v="priscila@oi.net.br"/>
    <s v="COMPRAS CORPORATIVAS"/>
    <s v="VERONICA PEREIRA DA ROCHA AZEVEDO"/>
    <n v="95"/>
    <n v="130531.67494736843"/>
    <n v="3590.3040000000001"/>
    <n v="126941.37094736843"/>
    <n v="130531.67494736843"/>
    <s v="0060"/>
    <s v="60ddl após entrega/aceite ou conf.cond.contratual."/>
    <s v="OCCO"/>
    <s v="N02"/>
    <s v="BRL"/>
    <s v="SEM PEDIDOS"/>
    <n v="0"/>
    <n v="0"/>
  </r>
  <r>
    <n v="4600058779"/>
    <m/>
    <x v="0"/>
    <s v="CCOX"/>
    <n v="127179"/>
    <x v="50"/>
    <s v="Plano Móvel Colaborador"/>
    <d v="2024-12-01T00:00:00"/>
    <d v="2026-09-30T00:00:00"/>
    <n v="224591.4"/>
    <n v="0"/>
    <n v="224591.4"/>
    <s v="SUPORTE AO NEGOCIO"/>
    <s v="PATRIMONIO"/>
    <s v="DANIEL JUNQUEIRA PINTO HERMETO"/>
    <s v="edinei.silva@oi.net.br"/>
    <s v="COMPRAS CORPORATIVAS"/>
    <s v="ANELISE HUFF"/>
    <n v="21"/>
    <n v="128337.94285714284"/>
    <n v="0"/>
    <n v="128337.94285714284"/>
    <n v="128337.94285714284"/>
    <s v="0001"/>
    <s v="Pagto imediato"/>
    <s v="OCCO"/>
    <s v="N02"/>
    <s v="BRL"/>
    <s v="SEM PEDIDOS"/>
    <n v="0"/>
    <n v="0"/>
  </r>
  <r>
    <n v="4600058622"/>
    <m/>
    <x v="5"/>
    <s v="CCOX"/>
    <n v="110268"/>
    <x v="17"/>
    <s v="Suporte e Manutenção do BDO e SOA (portabilidade)"/>
    <d v="2015-11-04T00:00:00"/>
    <d v="2026-08-31T00:00:00"/>
    <n v="1283608.5900000001"/>
    <n v="864639.55"/>
    <n v="418969.04"/>
    <s v="TECNOLOGIA"/>
    <s v="INFRA E OPERACOES"/>
    <s v="CAIO MARCIO GUSMON"/>
    <s v="leonardo.iunes@oi.net.br"/>
    <s v="COMPRAS CORPORATIVAS"/>
    <s v="JANISE OLIVEIRA DE ALMEIDA"/>
    <n v="129"/>
    <n v="119405.45023255816"/>
    <n v="80431.586046511642"/>
    <n v="38973.864186046507"/>
    <n v="119405.45023255816"/>
    <s v="0060"/>
    <s v="60ddl após entrega/aceite ou conf.cond.contratual."/>
    <s v="OCCO"/>
    <s v="N02"/>
    <s v="BRL"/>
    <s v="OPEX"/>
    <n v="0"/>
    <n v="1"/>
  </r>
  <r>
    <n v="4600058783"/>
    <m/>
    <x v="5"/>
    <s v="CCOX"/>
    <n v="3028674"/>
    <x v="51"/>
    <s v="Gerenciamento e Suporte do Virtualizador VMWare"/>
    <d v="2024-04-01T00:00:00"/>
    <d v="2026-03-31T00:00:00"/>
    <n v="208000"/>
    <n v="169000"/>
    <n v="39000"/>
    <s v="OPERACOES DE REDE E SI"/>
    <s v="DESEMPENHO E ECOSSISTEMA DE PARCEIROS"/>
    <s v="GUSTAVO ROBERTO BRAMBILA"/>
    <s v="alexandre.vargas@oi.net.br"/>
    <s v="COMPRAS DIRETAS"/>
    <s v="EM DEFINIÇÃO"/>
    <n v="23"/>
    <n v="108521.73913043478"/>
    <n v="88173.913043478256"/>
    <n v="20347.82608695652"/>
    <n v="108521.73913043478"/>
    <s v="0060"/>
    <s v="60ddl após entrega/aceite ou conf.cond.contratual."/>
    <s v="OCCO"/>
    <s v="N04"/>
    <s v="BRL"/>
    <s v="OPEX"/>
    <n v="0"/>
    <n v="1"/>
  </r>
  <r>
    <n v="4600058693"/>
    <m/>
    <x v="0"/>
    <s v="CCOX"/>
    <n v="3039788"/>
    <x v="52"/>
    <s v="LPU de Serviços de Suporte Zabbix"/>
    <d v="2021-08-26T00:00:00"/>
    <d v="2026-11-08T00:00:00"/>
    <n v="559200"/>
    <n v="309200"/>
    <n v="250000"/>
    <s v="TECNOLOGIA"/>
    <s v="DATA ANALYTICS E GOVERNANCA"/>
    <s v="CAIO MARCIO GUSMON"/>
    <s v="tatiana.almeida@oi.net.br"/>
    <s v="COMPRAS CORPORATIVAS"/>
    <s v="RENAN DE ANDRADE CARDOSO FURTADO"/>
    <n v="63"/>
    <n v="106514.28571428571"/>
    <n v="58895.238095238092"/>
    <n v="47619.047619047618"/>
    <n v="106514.28571428571"/>
    <s v="0001"/>
    <s v="Pagto imediato"/>
    <s v="OCCO"/>
    <s v="N02"/>
    <s v="BRL"/>
    <s v="SEM PEDIDOS"/>
    <n v="0"/>
    <n v="0"/>
  </r>
  <r>
    <n v="4600058784"/>
    <m/>
    <x v="0"/>
    <s v="CCOX"/>
    <n v="104383"/>
    <x v="53"/>
    <s v="Prestação de Serviço de Checkup Executivo Oi - RJ"/>
    <d v="2024-06-24T00:00:00"/>
    <d v="2026-06-25T00:00:00"/>
    <n v="193160"/>
    <n v="64800"/>
    <n v="128360"/>
    <s v="PESSOAS &amp; CULTURA"/>
    <s v="JORNADA &amp; EXPERIENCIA DO COLABORADOR"/>
    <s v="MARCOS MENDES"/>
    <s v="cintia.rau@oi.net.br"/>
    <s v="COMPRAS CORPORATIVAS"/>
    <s v="VERONICA PEREIRA DA ROCHA AZEVEDO"/>
    <n v="24"/>
    <n v="96580"/>
    <n v="32400"/>
    <n v="64180"/>
    <n v="96580"/>
    <s v="0045"/>
    <s v="45ddl após entrega/aceite ou conf.cond.contratual."/>
    <s v="OCCO"/>
    <s v="N02"/>
    <s v="BRL"/>
    <s v="SEM PEDIDOS"/>
    <n v="0"/>
    <n v="0"/>
  </r>
  <r>
    <n v="4600058604"/>
    <n v="69611089"/>
    <x v="0"/>
    <s v="CCOX"/>
    <n v="110268"/>
    <x v="17"/>
    <s v="Fábrica de Software para atendimento ao Gateway de Portabilidade"/>
    <d v="2014-06-06T00:00:00"/>
    <d v="2026-07-31T00:00:00"/>
    <n v="1165874.3600000001"/>
    <n v="1159279.1299999999"/>
    <n v="6595.23"/>
    <s v="TECNOLOGIA"/>
    <s v="CICLO DA RECEITA, OSS E APLICACOES CORPORATIVAS"/>
    <s v="CAIO MARCIO GUSMON"/>
    <s v="vivian.jesus@oi.net.br"/>
    <s v="COMPRAS CORPORATIVAS"/>
    <s v="JANISE OLIVEIRA DE ALMEIDA"/>
    <n v="145"/>
    <n v="96486.153931034482"/>
    <n v="95940.341793103435"/>
    <n v="545.8121379310345"/>
    <n v="96486.153931034467"/>
    <s v="0060"/>
    <s v="60ddl após entrega/aceite ou conf.cond.contratual."/>
    <s v="OCCO"/>
    <s v="N02"/>
    <s v="BRL"/>
    <s v="SEM PEDIDOS"/>
    <n v="0"/>
    <n v="0"/>
  </r>
  <r>
    <n v="4600058694"/>
    <m/>
    <x v="0"/>
    <s v="CCOX"/>
    <n v="102603"/>
    <x v="34"/>
    <s v="Manutenção dos sistemas TRIM, ADASTRIP, E-STRIP"/>
    <d v="2021-08-24T00:00:00"/>
    <d v="2026-08-31T00:00:00"/>
    <n v="468305.9"/>
    <n v="468305.9"/>
    <n v="0"/>
    <s v="TECNOLOGIA"/>
    <s v="DATA ANALYTICS E GOVERNANCA"/>
    <s v="CAIO MARCIO GUSMON"/>
    <s v="daniellerodrigues@oi.net.br"/>
    <s v="COMPRAS CORPORATIVAS"/>
    <s v="CLARICE EULALIA KLEM CHAVES"/>
    <n v="60"/>
    <n v="93661.180000000008"/>
    <n v="93661.180000000008"/>
    <n v="0"/>
    <n v="93661.180000000008"/>
    <s v="0060"/>
    <s v="60ddl após entrega/aceite ou conf.cond.contratual."/>
    <s v="OCCO"/>
    <s v="N02"/>
    <s v="BRL"/>
    <s v="SEM PEDIDOS"/>
    <n v="0"/>
    <n v="0"/>
  </r>
  <r>
    <n v="4600059676"/>
    <m/>
    <x v="7"/>
    <s v="CCOX"/>
    <n v="128216"/>
    <x v="54"/>
    <s v="Serviços de Manutenção em Equipamento NetApp"/>
    <d v="2025-05-01T00:00:00"/>
    <d v="2026-04-30T00:00:00"/>
    <n v="77169.38"/>
    <n v="72860.759999999995"/>
    <n v="4308.62"/>
    <s v="TECNOLOGIA"/>
    <s v="DATA ANALYTICS E GOVERNANCA"/>
    <s v="CAIO MARCIO GUSMON"/>
    <s v="tatiana.almeida@oi.net.br"/>
    <s v="COMPRAS CORPORATIVAS"/>
    <s v="CLARICE EULALIA KLEM CHAVES"/>
    <n v="11"/>
    <n v="77169.38"/>
    <n v="72860.759999999995"/>
    <n v="4308.62"/>
    <n v="77169.37999999999"/>
    <s v="0060"/>
    <s v="60ddl após entrega/aceite ou conf.cond.contratual."/>
    <s v="OCCO"/>
    <s v="N02"/>
    <s v="BRL"/>
    <s v="OPEX"/>
    <n v="0"/>
    <n v="1"/>
  </r>
  <r>
    <n v="4600059510"/>
    <m/>
    <x v="0"/>
    <s v="CCOX"/>
    <n v="102369"/>
    <x v="55"/>
    <s v="Envio SMS"/>
    <d v="2024-12-01T00:00:00"/>
    <d v="2026-11-30T00:00:00"/>
    <n v="120479.26"/>
    <n v="63463.26"/>
    <n v="57016"/>
    <s v="OI SOLUCOES"/>
    <s v="PRODUTOS, ARQUITETURA, ATACADO E PLANEJAMENTO"/>
    <s v="MARCELO AUGUSTO LEITE DE MORAES"/>
    <s v="marcio.webler@oi.net.br"/>
    <s v="COMPRAS CORPORATIVAS"/>
    <s v="GUSTAVO MELO BRAGA"/>
    <n v="23"/>
    <n v="62858.744347826083"/>
    <n v="33111.266086956522"/>
    <n v="29747.478260869564"/>
    <n v="62858.744347826083"/>
    <s v="0030"/>
    <s v="30ddl após entrega/aceite ou conf.cond.contratual"/>
    <s v="OCCO"/>
    <s v="N02"/>
    <s v="BRL"/>
    <s v="SEM PEDIDOS"/>
    <n v="0"/>
    <n v="0"/>
  </r>
  <r>
    <n v="4600058748"/>
    <m/>
    <x v="0"/>
    <s v="CCOX"/>
    <n v="3000000"/>
    <x v="56"/>
    <s v="Consultoria e Auditoria de SI orientada ao NIST"/>
    <d v="2023-06-02T00:00:00"/>
    <d v="2026-06-01T00:00:00"/>
    <n v="188504"/>
    <n v="69252"/>
    <n v="119252"/>
    <s v="OPERACOES DE REDE E SI"/>
    <s v="SEGURANCA DA INFORMACAO"/>
    <s v="GUSTAVO ROBERTO BRAMBILA"/>
    <s v="rodnei.martins@oi.net.br"/>
    <s v="COMPRAS CORPORATIVAS"/>
    <s v="ANELISE HUFF"/>
    <n v="36"/>
    <n v="62834.666666666664"/>
    <n v="23084"/>
    <n v="39750.666666666664"/>
    <n v="62834.666666666664"/>
    <s v="0030"/>
    <s v="30ddl após entrega/aceite ou conf.cond.contratual"/>
    <s v="OCCO"/>
    <s v="N02"/>
    <s v="BRL"/>
    <s v="SEM PEDIDOS"/>
    <n v="0"/>
    <n v="0"/>
  </r>
  <r>
    <n v="4600058780"/>
    <m/>
    <x v="0"/>
    <s v="CCOX"/>
    <n v="3027294"/>
    <x v="57"/>
    <s v="Ferramentas de Apoio ao Digital"/>
    <d v="2024-04-10T00:00:00"/>
    <d v="2026-05-01T00:00:00"/>
    <n v="122141.74"/>
    <n v="104161"/>
    <n v="17980.740000000002"/>
    <s v="TECNOLOGIA"/>
    <s v="DATA ANALYTICS E GOVERNANCA"/>
    <s v="CAIO MARCIO GUSMON"/>
    <s v="daniellerodrigues@oi.net.br"/>
    <s v="COMPRAS CORPORATIVAS"/>
    <s v="RAFAEL MAIA DE VASCONCELOS MUNIZ"/>
    <n v="25"/>
    <n v="58628.035200000006"/>
    <n v="49997.279999999999"/>
    <n v="8630.7551999999996"/>
    <n v="58628.035199999998"/>
    <s v="0030"/>
    <s v="30ddl após entrega/aceite ou conf.cond.contratual"/>
    <s v="OCCO"/>
    <s v="N02"/>
    <s v="BRL"/>
    <s v="SEM PEDIDOS"/>
    <n v="0"/>
    <n v="0"/>
  </r>
  <r>
    <n v="4600058695"/>
    <m/>
    <x v="0"/>
    <s v="CCOX"/>
    <n v="1003954"/>
    <x v="58"/>
    <s v="Consultoria e Gestão de Benefícios Oi"/>
    <d v="2021-08-25T00:00:00"/>
    <d v="2026-07-31T00:00:00"/>
    <n v="265303.13"/>
    <n v="0"/>
    <n v="265303.13"/>
    <s v="PESSOAS &amp; CULTURA"/>
    <s v="REMUNERACAO, PLANEJAMENTO E GESTAO"/>
    <s v="MARCOS MENDES"/>
    <s v="carlos.andrade@oi.net.br"/>
    <s v="COMPRAS CORPORATIVAS"/>
    <s v="RAFAEL MAIA DE VASCONCELOS MUNIZ"/>
    <n v="59"/>
    <n v="53959.958644067796"/>
    <n v="0"/>
    <n v="53959.958644067796"/>
    <n v="53959.958644067796"/>
    <s v="0035"/>
    <s v="35ddl após entrega/aceite ou conf.cond.contratual"/>
    <s v="OCCO"/>
    <s v="N02"/>
    <s v="BRL"/>
    <s v="SEM PEDIDOS"/>
    <n v="0"/>
    <n v="0"/>
  </r>
  <r>
    <n v="4600059530"/>
    <m/>
    <x v="0"/>
    <s v="CCOX"/>
    <n v="3047206"/>
    <x v="59"/>
    <s v="Fornecimento de Crachás para Oi Services"/>
    <d v="2025-02-05T00:00:00"/>
    <d v="2026-02-04T00:00:00"/>
    <n v="50000"/>
    <n v="0"/>
    <n v="50000"/>
    <s v="SUPORTE AO NEGOCIO"/>
    <s v="PATRIMONIO"/>
    <s v="DANIEL JUNQUEIRA PINTO HERMETO"/>
    <s v="adriano.israel@oi.net.br"/>
    <s v="COMPRAS CORPORATIVAS"/>
    <s v="RENAN DE ANDRADE CARDOSO FURTADO"/>
    <n v="12"/>
    <n v="50000"/>
    <n v="0"/>
    <n v="50000"/>
    <n v="50000"/>
    <s v="0030"/>
    <s v="30ddl após entrega/aceite ou conf.cond.contratual"/>
    <s v="CCOX"/>
    <s v="N02"/>
    <s v="BRL"/>
    <s v="SEM PEDIDOS"/>
    <n v="0"/>
    <n v="0"/>
  </r>
  <r>
    <n v="4600058650"/>
    <m/>
    <x v="0"/>
    <s v="CCOX"/>
    <n v="101745"/>
    <x v="2"/>
    <s v="Aquisição de Licenças para o IFRS16 Oracle - EPM"/>
    <d v="2020-01-24T00:00:00"/>
    <d v="2026-02-16T00:00:00"/>
    <n v="288274.75"/>
    <n v="288274.75"/>
    <n v="0"/>
    <s v="TECNOLOGIA"/>
    <s v="DATA ANALYTICS E GOVERNANCA"/>
    <s v="CAIO MARCIO GUSMON"/>
    <s v="tatiana.almeida@oi.net.br"/>
    <s v="COMPRAS CORPORATIVAS"/>
    <s v="VANESSA DE OLIVEIRA BUENO"/>
    <n v="73"/>
    <n v="47387.630136986299"/>
    <n v="47387.630136986299"/>
    <n v="0"/>
    <n v="47387.630136986299"/>
    <s v="0030"/>
    <s v="30ddl após entrega/aceite ou conf.cond.contratual"/>
    <s v="OCCO"/>
    <s v="N02"/>
    <s v="BRL"/>
    <s v="SEM PEDIDOS"/>
    <n v="0"/>
    <n v="0"/>
  </r>
  <r>
    <n v="4600058654"/>
    <m/>
    <x v="9"/>
    <s v="CCOX"/>
    <n v="3036329"/>
    <x v="60"/>
    <s v="Ferramenta de Recrutamento e Seleção"/>
    <d v="2020-06-25T00:00:00"/>
    <d v="2026-06-24T00:00:00"/>
    <n v="270592.12"/>
    <n v="175104.8"/>
    <n v="95487.32"/>
    <s v="PESSOAS &amp; CULTURA"/>
    <s v="JORNADA &amp; EXPERIENCIA DO COLABORADOR"/>
    <s v="MARCOS MENDES"/>
    <s v="carolina.engel@oi.net.br"/>
    <s v="COMPRAS CORPORATIVAS"/>
    <s v="ANELISE HUFF"/>
    <n v="72"/>
    <n v="45098.686666666668"/>
    <n v="29184.133333333328"/>
    <n v="15914.553333333335"/>
    <n v="45098.686666666661"/>
    <s v="0060"/>
    <s v="60ddl após entrega/aceite ou conf.cond.contratual."/>
    <s v="OCCO"/>
    <s v="N02"/>
    <s v="BRL"/>
    <s v="OPEX"/>
    <n v="0"/>
    <n v="1"/>
  </r>
  <r>
    <n v="4600058785"/>
    <m/>
    <x v="0"/>
    <s v="CCOX"/>
    <n v="3045619"/>
    <x v="61"/>
    <s v="Aquisição e manutenção de licenciamento c/ GlobalSign - Certificados Digitais"/>
    <d v="2024-07-05T00:00:00"/>
    <d v="2026-07-04T00:00:00"/>
    <n v="87020"/>
    <n v="14502"/>
    <n v="72518"/>
    <s v="OPERACOES DE REDE E SI"/>
    <s v="SEGURANCA DA INFORMACAO"/>
    <s v="GUSTAVO ROBERTO BRAMBILA"/>
    <s v="nivaldo.santos@oi.net.br"/>
    <s v="COMPRAS CORPORATIVAS"/>
    <s v="JANISE OLIVEIRA DE ALMEIDA"/>
    <n v="24"/>
    <n v="43510"/>
    <n v="7251"/>
    <n v="36259"/>
    <n v="43510"/>
    <s v="0060"/>
    <s v="60ddl após entrega/aceite ou conf.cond.contratual."/>
    <s v="OCCO"/>
    <s v="N02"/>
    <s v="BRL"/>
    <s v="SEM PEDIDOS"/>
    <n v="0"/>
    <n v="0"/>
  </r>
  <r>
    <n v="4600058623"/>
    <m/>
    <x v="0"/>
    <s v="CCOX"/>
    <n v="186642"/>
    <x v="62"/>
    <s v="Suporte e manutenção da Licença EnCase com suporte remoto 8x5 de outras ferramentas."/>
    <d v="2015-11-23T00:00:00"/>
    <d v="2026-06-12T00:00:00"/>
    <n v="297144.45"/>
    <n v="0"/>
    <n v="297144.45"/>
    <s v="OPERACOES DE REDE E SI"/>
    <s v="SEGURANCA DA INFORMACAO"/>
    <s v="GUSTAVO ROBERTO BRAMBILA"/>
    <s v="diogo.canonio@oi.net.br"/>
    <s v="COMPRAS CORPORATIVAS"/>
    <s v="VANESSA DE OLIVEIRA BUENO"/>
    <n v="127"/>
    <n v="28076.640944881892"/>
    <n v="0"/>
    <n v="28076.640944881892"/>
    <n v="28076.640944881892"/>
    <s v="0090"/>
    <s v="90ddl após entrega/aceite ou conf.cond.contratual."/>
    <s v="OCCO"/>
    <s v="N02"/>
    <s v="BRL"/>
    <s v="SEM PEDIDOS"/>
    <n v="0"/>
    <n v="0"/>
  </r>
  <r>
    <n v="4600058628"/>
    <m/>
    <x v="0"/>
    <s v="CCOX"/>
    <n v="116526"/>
    <x v="63"/>
    <s v="Renovação do Suporte técnico e manutenção do SW Workers Audittn"/>
    <d v="2022-05-30T00:00:00"/>
    <d v="2026-03-02T00:00:00"/>
    <n v="77378.009999999995"/>
    <n v="77378"/>
    <n v="0.01"/>
    <s v="OPERACOES DE REDE E SI"/>
    <s v="SEGURANCA DA INFORMACAO"/>
    <s v="GUSTAVO ROBERTO BRAMBILA"/>
    <s v="nivaldo.santos@oi.net.br"/>
    <s v="COMPRAS DIRETAS"/>
    <s v="EM DEFINIÇÃO"/>
    <n v="46"/>
    <n v="20185.567826086954"/>
    <n v="20185.565217391304"/>
    <n v="2.6086956521739128E-3"/>
    <n v="20185.567826086957"/>
    <s v="0060"/>
    <s v="60ddl após entrega/aceite ou conf.cond.contratual."/>
    <s v="OCCO"/>
    <s v="N04"/>
    <s v="BRL"/>
    <s v="SEM PEDIDOS"/>
    <n v="0"/>
    <n v="0"/>
  </r>
  <r>
    <n v="4600058757"/>
    <m/>
    <x v="0"/>
    <s v="CCOX"/>
    <n v="186642"/>
    <x v="62"/>
    <s v="Licenças Veriato Cerebral In Cloud e Serviços de Implantação"/>
    <d v="2023-07-14T00:00:00"/>
    <d v="2026-10-18T00:00:00"/>
    <n v="58725.96"/>
    <n v="58725.96"/>
    <n v="0"/>
    <s v="OPERACOES DE REDE E SI"/>
    <s v="SEGURANCA DA INFORMACAO"/>
    <s v="GUSTAVO ROBERTO BRAMBILA"/>
    <s v="diogo.canonio@oi.net.br"/>
    <s v="COMPRAS CORPORATIVAS"/>
    <s v="JANISE OLIVEIRA DE ALMEIDA"/>
    <n v="39"/>
    <n v="18069.526153846153"/>
    <n v="18069.526153846153"/>
    <n v="0"/>
    <n v="18069.526153846153"/>
    <s v="0060"/>
    <s v="60ddl após entrega/aceite ou conf.cond.contratual."/>
    <s v="OCCO"/>
    <s v="N02"/>
    <s v="BRL"/>
    <s v="SEM PEDIDOS"/>
    <n v="0"/>
    <n v="0"/>
  </r>
  <r>
    <n v="4600058670"/>
    <m/>
    <x v="10"/>
    <s v="CCOX"/>
    <n v="3036557"/>
    <x v="56"/>
    <s v="Serviços de teste periódico da efetividade e de reforço da conscientização no que tange combate a Phishing"/>
    <d v="2021-02-01T00:00:00"/>
    <d v="2026-01-31T00:00:00"/>
    <n v="87513.47"/>
    <n v="87513.47"/>
    <n v="0"/>
    <s v="OPERACOES DE REDE E SI"/>
    <s v="SEGURANCA DA INFORMACAO"/>
    <s v="GUSTAVO ROBERTO BRAMBILA"/>
    <s v="rodnei.martins@oi.net.br"/>
    <s v="COMPRAS CORPORATIVAS"/>
    <m/>
    <n v="59"/>
    <n v="17799.349830508476"/>
    <n v="17799.349830508476"/>
    <n v="0"/>
    <n v="17799.349830508476"/>
    <s v="0030"/>
    <s v="30ddl após entrega/aceite ou conf.cond.contratual"/>
    <s v="OCCO"/>
    <s v="N02"/>
    <s v="BRL"/>
    <s v="OPEX"/>
    <n v="0"/>
    <n v="1"/>
  </r>
  <r>
    <n v="4600058660"/>
    <m/>
    <x v="0"/>
    <s v="CCOX"/>
    <n v="3036633"/>
    <x v="64"/>
    <s v="Prestação de Serviços de com equipe tecnicamente capacitada para realizar programas de saúde online, relacionados a condições específicas visando a me"/>
    <d v="2020-09-25T00:00:00"/>
    <d v="2026-09-24T00:00:00"/>
    <n v="99971.1"/>
    <n v="60828.959999999999"/>
    <n v="39142.14"/>
    <s v="PESSOAS &amp; CULTURA"/>
    <s v="JORNADA &amp; EXPERIENCIA DO COLABORADOR"/>
    <s v="MARCOS MENDES"/>
    <s v="cintia.rau@oi.net.br"/>
    <s v="COMPRAS CORPORATIVAS"/>
    <s v="RAFAEL MAIA DE VASCONCELOS MUNIZ"/>
    <n v="72"/>
    <n v="16661.850000000002"/>
    <n v="10138.16"/>
    <n v="6523.69"/>
    <n v="16661.849999999999"/>
    <s v="0030"/>
    <s v="30ddl após entrega/aceite ou conf.cond.contratual"/>
    <s v="OCCO"/>
    <s v="N02"/>
    <s v="BRL"/>
    <s v="SEM PEDIDOS"/>
    <n v="0"/>
    <n v="0"/>
  </r>
  <r>
    <n v="4600058745"/>
    <m/>
    <x v="0"/>
    <s v="CCOX"/>
    <n v="3040242"/>
    <x v="65"/>
    <s v="Prestação de Serviço de Programa de Saúde Ocupacional - PCMSO - Oi"/>
    <d v="2020-03-02T00:00:00"/>
    <d v="2027-05-31T00:00:00"/>
    <n v="102379.25"/>
    <n v="6840"/>
    <n v="95539.25"/>
    <s v="PESSOAS &amp; CULTURA"/>
    <s v="JORNADA &amp; EXPERIENCIA DO COLABORADOR"/>
    <s v="MARCOS MENDES"/>
    <s v="cintia.rau@oi.net.br"/>
    <s v="COMPRAS CORPORATIVAS"/>
    <s v="RENAN DE ANDRADE CARDOSO FURTADO"/>
    <n v="86"/>
    <n v="14285.476744186046"/>
    <n v="954.41860465116281"/>
    <n v="13331.058139534884"/>
    <n v="14285.476744186046"/>
    <s v="0030"/>
    <s v="30ddl após entrega/aceite ou conf.cond.contratual"/>
    <s v="OCCO"/>
    <s v="N02"/>
    <s v="BRL"/>
    <s v="SEM PEDIDOS"/>
    <n v="0"/>
    <n v="0"/>
  </r>
  <r>
    <n v="4600058753"/>
    <m/>
    <x v="0"/>
    <s v="CCOX"/>
    <n v="146625"/>
    <x v="66"/>
    <s v="Gestão de estagiários"/>
    <d v="2023-08-11T00:00:00"/>
    <d v="2026-08-10T00:00:00"/>
    <n v="14024.25"/>
    <n v="2924.09"/>
    <n v="11100.16"/>
    <s v="PESSOAS &amp; CULTURA"/>
    <s v="JORNADA &amp; EXPERIENCIA DO COLABORADOR"/>
    <s v="MARCOS MENDES"/>
    <s v="carolina.engel@oi.net.br"/>
    <s v="COMPRAS CORPORATIVAS"/>
    <s v="ANELISE HUFF"/>
    <n v="36"/>
    <n v="4674.75"/>
    <n v="974.69666666666672"/>
    <n v="3700.0533333333328"/>
    <n v="4674.75"/>
    <s v="0001"/>
    <s v="Pagto imediato"/>
    <s v="OCCO"/>
    <s v="N02"/>
    <s v="BRL"/>
    <s v="SEM PEDIDOS"/>
    <n v="0"/>
    <n v="0"/>
  </r>
  <r>
    <n v="4600058609"/>
    <m/>
    <x v="0"/>
    <s v="CCOX"/>
    <n v="151114"/>
    <x v="67"/>
    <s v="Manutenção e suporte do produto LogWatch"/>
    <d v="2023-07-18T00:00:00"/>
    <d v="2026-02-13T00:00:00"/>
    <n v="5137.42"/>
    <n v="5137.42"/>
    <n v="0"/>
    <s v="OPERACOES DE REDE E SI"/>
    <s v="SEGURANCA DA INFORMACAO"/>
    <s v="GUSTAVO ROBERTO BRAMBILA"/>
    <s v="nivaldo.santos@oi.net.br"/>
    <s v="COMPRAS CORPORATIVAS"/>
    <s v="LORENA SALDANHA RICARDO"/>
    <n v="31"/>
    <n v="1988.6787096774194"/>
    <n v="1988.6787096774194"/>
    <n v="0"/>
    <n v="1988.6787096774194"/>
    <s v="0060"/>
    <s v="60ddl após entrega/aceite ou conf.cond.contratual."/>
    <s v="OCCO"/>
    <s v="N02"/>
    <s v="BRL"/>
    <s v="SEM PEDIDOS"/>
    <n v="0"/>
    <n v="0"/>
  </r>
  <r>
    <n v="4600058596"/>
    <m/>
    <x v="0"/>
    <s v="CCOX"/>
    <n v="113269"/>
    <x v="68"/>
    <s v="Prestação de serviços de e-Procurement"/>
    <d v="2010-01-01T00:00:00"/>
    <d v="2027-05-14T00:00:00"/>
    <n v="22500"/>
    <n v="0"/>
    <n v="22500"/>
    <s v="TECNOLOGIA"/>
    <s v="CICLO DA RECEITA, OSS E APLICACOES CORPORATIVAS"/>
    <s v="CAIO MARCIO GUSMON"/>
    <s v="vivian.jesus@oi.net.br"/>
    <s v="COMPRAS CORPORATIVAS"/>
    <s v="CLARICE EULALIA KLEM CHAVES"/>
    <n v="208"/>
    <n v="1298.0769230769231"/>
    <n v="0"/>
    <n v="1298.0769230769231"/>
    <n v="1298.0769230769231"/>
    <s v="0035"/>
    <s v="35ddl após entrega/aceite ou conf.cond.contratual"/>
    <s v="OCCO"/>
    <s v="N02"/>
    <s v="BRL"/>
    <s v="SEM PEDIDOS"/>
    <n v="0"/>
    <n v="0"/>
  </r>
  <r>
    <n v="4600059168"/>
    <m/>
    <x v="0"/>
    <s v="CCOX"/>
    <n v="109395"/>
    <x v="69"/>
    <s v="Prestação de Serviços de Gerenciamento do Benefício Medicamento - Oi Services"/>
    <d v="2024-12-01T00:00:00"/>
    <d v="2026-12-01T00:00:00"/>
    <n v="0.01"/>
    <n v="0"/>
    <n v="0.01"/>
    <s v="PESSOAS &amp; CULTURA"/>
    <s v="REMUNERACAO, PLANEJAMENTO E GESTAO"/>
    <s v="MARCOS MENDES"/>
    <s v="carlos.andrade@oi.net.br"/>
    <s v="COMPRAS CORPORATIVAS"/>
    <s v="VERONICA PEREIRA DA ROCHA AZEVEDO"/>
    <n v="24"/>
    <n v="5.0000000000000001E-3"/>
    <n v="0"/>
    <n v="5.0000000000000001E-3"/>
    <n v="5.0000000000000001E-3"/>
    <s v="0010"/>
    <s v="9 dias após a entrega da fatura com desconto de 6%"/>
    <s v="OCCO"/>
    <s v="N02"/>
    <s v="BRL"/>
    <s v="SEM PEDIDOS"/>
    <n v="0"/>
    <n v="0"/>
  </r>
  <r>
    <n v="4600058759"/>
    <m/>
    <x v="0"/>
    <s v="CCOX"/>
    <n v="3035927"/>
    <x v="70"/>
    <s v="Serviço de Gestão Integrada do Benefício Vale Transporte - Oi"/>
    <d v="2023-09-01T00:00:00"/>
    <d v="2026-08-31T00:00:00"/>
    <n v="0.01"/>
    <n v="0"/>
    <n v="0.01"/>
    <s v="PESSOAS &amp; CULTURA"/>
    <s v="REMUNERACAO, PLANEJAMENTO E GESTAO"/>
    <s v="MARCOS MENDES"/>
    <s v="carlos.andrade@oi.net.br"/>
    <s v="COMPRAS CORPORATIVAS"/>
    <s v="RAFAEL MAIA DE VASCONCELOS MUNIZ"/>
    <n v="35"/>
    <n v="3.4285714285714284E-3"/>
    <n v="0"/>
    <n v="3.4285714285714284E-3"/>
    <n v="3.4285714285714284E-3"/>
    <s v="0075"/>
    <s v="75ddl após entrega/aceite ou conf.cond.contratual."/>
    <s v="OCCO"/>
    <s v="N02"/>
    <s v="BRL"/>
    <s v="SEM PEDIDOS"/>
    <n v="0"/>
    <n v="0"/>
  </r>
  <r>
    <n v="4600058674"/>
    <m/>
    <x v="0"/>
    <s v="CCOX"/>
    <n v="131461"/>
    <x v="8"/>
    <s v="Solução de Segurança SIEM"/>
    <d v="2021-05-21T00:00:00"/>
    <d v="2026-05-15T00:00:00"/>
    <n v="0.01"/>
    <n v="0"/>
    <n v="0.01"/>
    <s v="OI SOLUCOES"/>
    <s v="PRODUTOS, ARQUITETURA, ATACADO E PLANEJAMENTO"/>
    <s v="MARCELO AUGUSTO LEITE DE MORAES"/>
    <s v="MARIANA.PINHO@OI.NET.BR"/>
    <s v="COMPRAS DIRETAS"/>
    <s v="EM DEFINIÇÃO"/>
    <n v="60"/>
    <n v="2E-3"/>
    <n v="0"/>
    <n v="2E-3"/>
    <n v="2E-3"/>
    <s v="0060"/>
    <s v="60ddl após entrega/aceite ou conf.cond.contratual."/>
    <s v="OCCO"/>
    <s v="N04"/>
    <s v="BRL"/>
    <s v="SEM PEDIDOS"/>
    <n v="0"/>
    <n v="0"/>
  </r>
  <r>
    <n v="4600059785"/>
    <m/>
    <x v="0"/>
    <s v="CCOX"/>
    <n v="102440"/>
    <x v="71"/>
    <s v="Benefício Auxílio Alimentação, Refeição e outras trilhas - Oi Services"/>
    <d v="2017-11-01T00:00:00"/>
    <d v="2027-01-30T00:00:00"/>
    <n v="0.01"/>
    <n v="0"/>
    <n v="0.01"/>
    <s v="PESSOAS &amp; CULTURA"/>
    <s v="REMUNERACAO, PLANEJAMENTO E GESTAO"/>
    <s v="MARCOS MENDES"/>
    <s v="carlos.andrade@oi.net.br"/>
    <s v="COMPRAS CORPORATIVAS"/>
    <s v="VERONICA PEREIRA DA ROCHA AZEVEDO"/>
    <n v="110"/>
    <n v="1.090909090909091E-3"/>
    <n v="0"/>
    <n v="1.090909090909091E-3"/>
    <n v="1.090909090909091E-3"/>
    <s v="0030"/>
    <s v="30ddl após entrega/aceite ou conf.cond.contratual"/>
    <s v="OCCO"/>
    <s v="N02"/>
    <s v="BRL"/>
    <s v="SEM PEDIDOS"/>
    <n v="0"/>
    <n v="0"/>
  </r>
  <r>
    <n v="4600058723"/>
    <n v="68202450"/>
    <x v="0"/>
    <s v="CCOX"/>
    <n v="148663"/>
    <x v="72"/>
    <s v="Seguro de Vida Grupo Oi"/>
    <d v="2015-05-01T00:00:00"/>
    <d v="2026-04-30T00:00:00"/>
    <n v="0.01"/>
    <n v="0"/>
    <n v="0.01"/>
    <s v="PESSOAS &amp; CULTURA"/>
    <s v="REMUNERACAO, PLANEJAMENTO E GESTAO"/>
    <s v="MARCOS MENDES"/>
    <s v="carlos.andrade@oi.net.br"/>
    <s v="COMPRAS CORPORATIVAS"/>
    <s v="RAFAEL MAIA DE VASCONCELOS MUNIZ"/>
    <n v="131"/>
    <n v="9.1603053435114501E-4"/>
    <n v="0"/>
    <n v="9.1603053435114501E-4"/>
    <n v="9.1603053435114501E-4"/>
    <s v="0015"/>
    <s v="15ddl após entrega/aceite ou conf.cond.contratual"/>
    <s v="OCCO"/>
    <s v="N02"/>
    <s v="BRL"/>
    <s v="SEM PEDIDOS"/>
    <n v="0"/>
    <n v="0"/>
  </r>
  <r>
    <n v="4600059165"/>
    <m/>
    <x v="0"/>
    <s v="CCOX"/>
    <n v="170647"/>
    <x v="73"/>
    <s v="Plano de Saúde - Oi Services"/>
    <d v="2014-05-01T00:00:00"/>
    <d v="2026-01-31T00:00:00"/>
    <n v="0.01"/>
    <n v="0"/>
    <n v="0.01"/>
    <s v="PESSOAS &amp; CULTURA"/>
    <s v="REMUNERACAO, PLANEJAMENTO E GESTAO"/>
    <s v="MARCOS MENDES"/>
    <s v="carlos.andrade@oi.net.br"/>
    <s v="COMPRAS CORPORATIVAS"/>
    <m/>
    <n v="140"/>
    <n v="8.571428571428571E-4"/>
    <n v="0"/>
    <n v="8.571428571428571E-4"/>
    <n v="8.571428571428571E-4"/>
    <s v="05DL"/>
    <s v="05ddl após entrega/aceite ou conf.cond.contratual."/>
    <s v="OCCO"/>
    <s v="N02"/>
    <s v="BRL"/>
    <s v="SEM PEDIDOS"/>
    <n v="0"/>
    <n v="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345F596-4D6A-684A-B83A-C96736E94381}" name="PivotTable2" cacheId="1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H24" firstHeaderRow="0" firstDataRow="1" firstDataCol="1" rowPageCount="1" colPageCount="1"/>
  <pivotFields count="31">
    <pivotField dataField="1" showAll="0"/>
    <pivotField showAll="0"/>
    <pivotField axis="axisPage" multipleItemSelectionAllowed="1" showAll="0">
      <items count="12">
        <item x="10"/>
        <item x="8"/>
        <item x="1"/>
        <item x="5"/>
        <item x="4"/>
        <item x="6"/>
        <item x="3"/>
        <item x="2"/>
        <item x="9"/>
        <item x="7"/>
        <item h="1" x="0"/>
        <item t="default"/>
      </items>
    </pivotField>
    <pivotField showAll="0"/>
    <pivotField showAll="0"/>
    <pivotField axis="axisRow" showAll="0" sortType="descending">
      <items count="75">
        <item x="34"/>
        <item x="67"/>
        <item x="42"/>
        <item x="1"/>
        <item x="29"/>
        <item x="12"/>
        <item x="24"/>
        <item x="3"/>
        <item x="23"/>
        <item x="40"/>
        <item x="39"/>
        <item x="28"/>
        <item x="37"/>
        <item x="17"/>
        <item x="32"/>
        <item x="54"/>
        <item x="51"/>
        <item x="16"/>
        <item x="46"/>
        <item x="65"/>
        <item x="44"/>
        <item x="4"/>
        <item x="64"/>
        <item x="41"/>
        <item x="69"/>
        <item x="36"/>
        <item x="27"/>
        <item x="13"/>
        <item x="61"/>
        <item x="9"/>
        <item x="60"/>
        <item x="10"/>
        <item x="56"/>
        <item x="8"/>
        <item x="57"/>
        <item x="58"/>
        <item x="53"/>
        <item x="68"/>
        <item x="72"/>
        <item x="70"/>
        <item x="45"/>
        <item x="21"/>
        <item x="59"/>
        <item x="15"/>
        <item x="49"/>
        <item x="25"/>
        <item x="66"/>
        <item x="55"/>
        <item x="2"/>
        <item x="6"/>
        <item x="11"/>
        <item x="5"/>
        <item x="47"/>
        <item x="38"/>
        <item x="26"/>
        <item x="33"/>
        <item x="0"/>
        <item x="19"/>
        <item x="7"/>
        <item x="22"/>
        <item x="73"/>
        <item x="48"/>
        <item x="62"/>
        <item x="71"/>
        <item x="50"/>
        <item x="30"/>
        <item x="43"/>
        <item x="31"/>
        <item x="14"/>
        <item x="18"/>
        <item x="20"/>
        <item x="63"/>
        <item x="52"/>
        <item x="35"/>
        <item t="default"/>
      </items>
      <autoSortScope>
        <pivotArea dataOnly="0" outline="0" fieldPosition="0">
          <references count="1">
            <reference field="4294967294" count="1" selected="0">
              <x v="2"/>
            </reference>
          </references>
        </pivotArea>
      </autoSortScope>
    </pivotField>
    <pivotField showAll="0"/>
    <pivotField numFmtId="14" showAll="0"/>
    <pivotField numFmtId="14" showAll="0"/>
    <pivotField dataField="1" numFmtId="164" showAll="0"/>
    <pivotField dataField="1" numFmtId="164" showAll="0"/>
    <pivotField dataField="1" numFmtId="164" showAll="0"/>
    <pivotField showAll="0"/>
    <pivotField showAll="0"/>
    <pivotField showAll="0"/>
    <pivotField showAll="0"/>
    <pivotField showAll="0"/>
    <pivotField showAll="0"/>
    <pivotField numFmtId="1" showAll="0"/>
    <pivotField dataField="1" numFmtId="164" showAll="0"/>
    <pivotField dataField="1" numFmtId="164" showAll="0"/>
    <pivotField dataField="1" numFmtId="164" showAll="0"/>
    <pivotField numFmtId="164" showAll="0"/>
    <pivotField showAll="0"/>
    <pivotField showAll="0"/>
    <pivotField showAll="0"/>
    <pivotField showAll="0"/>
    <pivotField showAll="0"/>
    <pivotField showAll="0"/>
    <pivotField numFmtId="165" showAll="0"/>
    <pivotField numFmtId="165" showAll="0"/>
  </pivotFields>
  <rowFields count="1">
    <field x="5"/>
  </rowFields>
  <rowItems count="21">
    <i>
      <x v="21"/>
    </i>
    <i>
      <x v="3"/>
    </i>
    <i>
      <x v="49"/>
    </i>
    <i>
      <x v="7"/>
    </i>
    <i>
      <x v="31"/>
    </i>
    <i>
      <x v="29"/>
    </i>
    <i>
      <x v="11"/>
    </i>
    <i>
      <x v="65"/>
    </i>
    <i>
      <x v="57"/>
    </i>
    <i>
      <x v="10"/>
    </i>
    <i>
      <x v="69"/>
    </i>
    <i>
      <x v="6"/>
    </i>
    <i>
      <x v="13"/>
    </i>
    <i>
      <x v="61"/>
    </i>
    <i>
      <x v="9"/>
    </i>
    <i>
      <x v="30"/>
    </i>
    <i>
      <x v="12"/>
    </i>
    <i>
      <x v="16"/>
    </i>
    <i>
      <x v="15"/>
    </i>
    <i>
      <x v="32"/>
    </i>
    <i t="grand">
      <x/>
    </i>
  </rowItems>
  <colFields count="1">
    <field x="-2"/>
  </colFields>
  <colItems count="7">
    <i>
      <x/>
    </i>
    <i i="1">
      <x v="1"/>
    </i>
    <i i="2">
      <x v="2"/>
    </i>
    <i i="3">
      <x v="3"/>
    </i>
    <i i="4">
      <x v="4"/>
    </i>
    <i i="5">
      <x v="5"/>
    </i>
    <i i="6">
      <x v="6"/>
    </i>
  </colItems>
  <pageFields count="1">
    <pageField fld="2" hier="-1"/>
  </pageFields>
  <dataFields count="7">
    <dataField name="Sum of Valor Fixado" fld="9" baseField="0" baseItem="0" numFmtId="164"/>
    <dataField name="Sum of Valor Utilizado" fld="10" baseField="0" baseItem="0" numFmtId="164"/>
    <dataField name="Sum of Saldo" fld="11" baseField="0" baseItem="0" numFmtId="164"/>
    <dataField name="Count of Contrato SAP" fld="0" subtotal="count" baseField="0" baseItem="0"/>
    <dataField name="Sum of Valor Fixado Anualizado" fld="19" baseField="0" baseItem="0" numFmtId="164"/>
    <dataField name="Sum of Valor Utilizado Anualizado" fld="20" baseField="0" baseItem="0" numFmtId="164"/>
    <dataField name="Sum of Saldo Anualizado" fld="21" baseField="0" baseItem="0" numFmtId="164"/>
  </dataFields>
  <formats count="12">
    <format dxfId="13">
      <pivotArea collapsedLevelsAreSubtotals="1" fieldPosition="0">
        <references count="2">
          <reference field="4294967294" count="3" selected="0">
            <x v="0"/>
            <x v="1"/>
            <x v="2"/>
          </reference>
          <reference field="5" count="20">
            <x v="0"/>
            <x v="5"/>
            <x v="6"/>
            <x v="8"/>
            <x v="11"/>
            <x v="14"/>
            <x v="20"/>
            <x v="26"/>
            <x v="27"/>
            <x v="29"/>
            <x v="31"/>
            <x v="41"/>
            <x v="44"/>
            <x v="45"/>
            <x v="55"/>
            <x v="56"/>
            <x v="65"/>
            <x v="67"/>
            <x v="68"/>
            <x v="70"/>
          </reference>
        </references>
      </pivotArea>
    </format>
    <format dxfId="12">
      <pivotArea dataOnly="0" labelOnly="1" fieldPosition="0">
        <references count="1">
          <reference field="5" count="20">
            <x v="0"/>
            <x v="5"/>
            <x v="6"/>
            <x v="8"/>
            <x v="11"/>
            <x v="14"/>
            <x v="20"/>
            <x v="26"/>
            <x v="27"/>
            <x v="29"/>
            <x v="31"/>
            <x v="41"/>
            <x v="44"/>
            <x v="45"/>
            <x v="55"/>
            <x v="56"/>
            <x v="65"/>
            <x v="67"/>
            <x v="68"/>
            <x v="70"/>
          </reference>
        </references>
      </pivotArea>
    </format>
    <format dxfId="11">
      <pivotArea collapsedLevelsAreSubtotals="1" fieldPosition="0">
        <references count="2">
          <reference field="4294967294" count="3" selected="0">
            <x v="0"/>
            <x v="1"/>
            <x v="2"/>
          </reference>
          <reference field="5" count="1">
            <x v="70"/>
          </reference>
        </references>
      </pivotArea>
    </format>
    <format dxfId="10">
      <pivotArea dataOnly="0" labelOnly="1" fieldPosition="0">
        <references count="1">
          <reference field="5" count="1">
            <x v="70"/>
          </reference>
        </references>
      </pivotArea>
    </format>
    <format dxfId="9">
      <pivotArea collapsedLevelsAreSubtotals="1" fieldPosition="0">
        <references count="2">
          <reference field="4294967294" count="3" selected="0">
            <x v="0"/>
            <x v="1"/>
            <x v="2"/>
          </reference>
          <reference field="5" count="7">
            <x v="3"/>
            <x v="7"/>
            <x v="13"/>
            <x v="21"/>
            <x v="43"/>
            <x v="49"/>
            <x v="51"/>
          </reference>
        </references>
      </pivotArea>
    </format>
    <format dxfId="8">
      <pivotArea dataOnly="0" labelOnly="1" fieldPosition="0">
        <references count="1">
          <reference field="5" count="7">
            <x v="3"/>
            <x v="7"/>
            <x v="13"/>
            <x v="21"/>
            <x v="43"/>
            <x v="49"/>
            <x v="51"/>
          </reference>
        </references>
      </pivotArea>
    </format>
    <format dxfId="7">
      <pivotArea collapsedLevelsAreSubtotals="1" fieldPosition="0">
        <references count="2">
          <reference field="4294967294" count="3" selected="0">
            <x v="0"/>
            <x v="1"/>
            <x v="2"/>
          </reference>
          <reference field="5" count="1">
            <x v="56"/>
          </reference>
        </references>
      </pivotArea>
    </format>
    <format dxfId="6">
      <pivotArea dataOnly="0" labelOnly="1" fieldPosition="0">
        <references count="1">
          <reference field="5" count="1">
            <x v="56"/>
          </reference>
        </references>
      </pivotArea>
    </format>
    <format dxfId="5">
      <pivotArea collapsedLevelsAreSubtotals="1" fieldPosition="0">
        <references count="2">
          <reference field="4294967294" count="3" selected="0">
            <x v="0"/>
            <x v="1"/>
            <x v="2"/>
          </reference>
          <reference field="5" count="1">
            <x v="73"/>
          </reference>
        </references>
      </pivotArea>
    </format>
    <format dxfId="4">
      <pivotArea dataOnly="0" labelOnly="1" fieldPosition="0">
        <references count="1">
          <reference field="5" count="1">
            <x v="73"/>
          </reference>
        </references>
      </pivotArea>
    </format>
    <format dxfId="3">
      <pivotArea collapsedLevelsAreSubtotals="1" fieldPosition="0">
        <references count="2">
          <reference field="4294967294" count="3" selected="0">
            <x v="0"/>
            <x v="1"/>
            <x v="2"/>
          </reference>
          <reference field="5" count="1">
            <x v="73"/>
          </reference>
        </references>
      </pivotArea>
    </format>
    <format dxfId="2">
      <pivotArea dataOnly="0" labelOnly="1" fieldPosition="0">
        <references count="1">
          <reference field="5" count="1">
            <x v="73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59DAEE35-9AB1-FC48-B467-96C85DB74E8B}" name="Table1" displayName="Table1" ref="A3:AE4" totalsRowShown="0">
  <autoFilter ref="A3:AE4" xr:uid="{59DAEE35-9AB1-FC48-B467-96C85DB74E8B}"/>
  <tableColumns count="31">
    <tableColumn id="1" xr3:uid="{4411546E-6DDB-044E-8EC0-A4121AB83310}" name="Contrato SAP"/>
    <tableColumn id="2" xr3:uid="{B469EA63-E127-AA4A-8C2E-3C8787FA86E5}" name="Requisições em Andamento"/>
    <tableColumn id="3" xr3:uid="{7B7D5587-7117-F84E-A835-1E1BEC0EEE77}" name="Data Último Pedido"/>
    <tableColumn id="4" xr3:uid="{451107FD-5828-C04E-AD01-E201EFE6B798}" name="Empresa"/>
    <tableColumn id="5" xr3:uid="{13003B90-B656-4447-88EF-42351638E01E}" name="Código Fornecedor"/>
    <tableColumn id="6" xr3:uid="{A106F728-E46B-BF4C-B3A2-7603E3DBDD63}" name="Grupo do Fornecedor"/>
    <tableColumn id="7" xr3:uid="{577A857E-8CC5-D24F-9D21-A4089552CED2}" name="Objeto"/>
    <tableColumn id="8" xr3:uid="{4CC2536E-CDFB-6947-AD4B-67AB3524BFAB}" name="Início do Prazo" dataDxfId="1"/>
    <tableColumn id="9" xr3:uid="{2A969515-3A31-AB43-8523-ACE680D4D96F}" name="Fim da Validade" dataDxfId="0"/>
    <tableColumn id="10" xr3:uid="{B40F018D-61BC-9249-9282-8E3BA8CC0DF1}" name="Valor Fixado"/>
    <tableColumn id="11" xr3:uid="{6B2D233A-674B-084A-B3D6-904004930D8A}" name="Valor Utilizado"/>
    <tableColumn id="12" xr3:uid="{C7715413-AF2F-B049-B113-8FA815CA7654}" name="Saldo"/>
    <tableColumn id="13" xr3:uid="{9F3D74CA-3797-244A-A988-BA12400CE5FD}" name="Diretoria N1"/>
    <tableColumn id="14" xr3:uid="{0FBD73A9-0169-7742-9B73-1B39854A17AB}" name="Diretoria N2"/>
    <tableColumn id="15" xr3:uid="{8D08FBBC-5776-0846-BC41-1BD4E13BF7BB}" name="Diretor"/>
    <tableColumn id="16" xr3:uid="{5942574E-7439-D24E-82C5-1C8FA5E858CF}" name="E-mail do Gestor"/>
    <tableColumn id="17" xr3:uid="{6884D9D1-3026-D74B-86EF-2DC9E055F8CD}" name="Gerência"/>
    <tableColumn id="18" xr3:uid="{ECC34832-8A50-F64D-9195-86BC4E98D1C7}" name="Comprador"/>
    <tableColumn id="19" xr3:uid="{F380ACF6-6E69-3F41-8AD4-B4D42B710034}" name="Vigência"/>
    <tableColumn id="20" xr3:uid="{097F143D-D37A-EA44-A6B4-1BA183D9293E}" name="Valor Fixado Anualizado"/>
    <tableColumn id="21" xr3:uid="{B7B457D6-4FF5-1C4F-ABE2-EF4BA9DFFEB3}" name="Valor Utilizado Anualizado"/>
    <tableColumn id="22" xr3:uid="{59D09BE0-6225-D146-8C57-291E2F5CEF3D}" name="Saldo Anualizado"/>
    <tableColumn id="23" xr3:uid="{8C20CA02-F0BE-1E40-8AE9-6E5F8AA6986F}" name="Utilizado + Saldo Anual"/>
    <tableColumn id="24" xr3:uid="{B8778593-1262-5A40-BD08-67BB1DCAA95F}" name="Condição de Pagamento"/>
    <tableColumn id="25" xr3:uid="{C62F0E28-F9CC-9B4A-A00D-9BC5E8E0715A}" name="Descrição da Condição de Pagamento"/>
    <tableColumn id="26" xr3:uid="{C9DE80B9-C414-A94F-8674-033080F07873}" name="Organização de Compras"/>
    <tableColumn id="27" xr3:uid="{5EF5D345-0E93-DC45-8DD2-480DAB64A656}" name="Grupo de Compras"/>
    <tableColumn id="28" xr3:uid="{1CD91B6B-CBFA-B548-A98F-0578517B6204}" name="Moeda"/>
    <tableColumn id="29" xr3:uid="{809CF053-6627-D54F-8498-F2305AEA770C}" name="Tipo de Custo"/>
    <tableColumn id="30" xr3:uid="{0C56416A-D9E2-414E-8A25-394864AEE0B7}" name="Percentual Capex"/>
    <tableColumn id="31" xr3:uid="{9BE86B94-85E8-4B4F-A233-593BFB8D6C18}" name="Percentual Opex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C24162-5B92-D149-BFD3-FF2389A59F78}">
  <dimension ref="A1:AE4"/>
  <sheetViews>
    <sheetView workbookViewId="0">
      <selection activeCell="A3" sqref="A3:G4"/>
    </sheetView>
  </sheetViews>
  <sheetFormatPr baseColWidth="10" defaultRowHeight="15" x14ac:dyDescent="0.2"/>
  <cols>
    <col min="1" max="1" width="13.83203125" bestFit="1" customWidth="1"/>
    <col min="2" max="2" width="25.1640625" bestFit="1" customWidth="1"/>
    <col min="3" max="3" width="18.83203125" bestFit="1" customWidth="1"/>
    <col min="4" max="4" width="11" bestFit="1" customWidth="1"/>
    <col min="5" max="5" width="18.33203125" bestFit="1" customWidth="1"/>
    <col min="6" max="6" width="20.33203125" bestFit="1" customWidth="1"/>
    <col min="7" max="7" width="55.83203125" bestFit="1" customWidth="1"/>
    <col min="8" max="8" width="14.83203125" bestFit="1" customWidth="1"/>
    <col min="9" max="9" width="15.83203125" bestFit="1" customWidth="1"/>
    <col min="10" max="10" width="13.1640625" bestFit="1" customWidth="1"/>
    <col min="11" max="11" width="15" bestFit="1" customWidth="1"/>
    <col min="12" max="12" width="11" bestFit="1" customWidth="1"/>
    <col min="13" max="13" width="16.83203125" bestFit="1" customWidth="1"/>
    <col min="14" max="14" width="33.6640625" bestFit="1" customWidth="1"/>
    <col min="15" max="15" width="14.33203125" bestFit="1" customWidth="1"/>
    <col min="16" max="16" width="19.33203125" bestFit="1" customWidth="1"/>
    <col min="17" max="17" width="20.6640625" bestFit="1" customWidth="1"/>
    <col min="18" max="18" width="32.1640625" bestFit="1" customWidth="1"/>
    <col min="19" max="19" width="11" bestFit="1" customWidth="1"/>
    <col min="20" max="20" width="22.1640625" bestFit="1" customWidth="1"/>
    <col min="21" max="21" width="24.1640625" bestFit="1" customWidth="1"/>
    <col min="22" max="22" width="16.6640625" bestFit="1" customWidth="1"/>
    <col min="23" max="23" width="21.1640625" bestFit="1" customWidth="1"/>
    <col min="24" max="24" width="22.33203125" bestFit="1" customWidth="1"/>
    <col min="25" max="25" width="40.33203125" bestFit="1" customWidth="1"/>
    <col min="26" max="26" width="22.6640625" bestFit="1" customWidth="1"/>
    <col min="27" max="27" width="17.83203125" bestFit="1" customWidth="1"/>
    <col min="28" max="28" width="11" bestFit="1" customWidth="1"/>
    <col min="29" max="29" width="14" bestFit="1" customWidth="1"/>
    <col min="30" max="30" width="17.1640625" bestFit="1" customWidth="1"/>
    <col min="31" max="31" width="16.5" bestFit="1" customWidth="1"/>
  </cols>
  <sheetData>
    <row r="1" spans="1:31" x14ac:dyDescent="0.2">
      <c r="A1" s="11" t="s">
        <v>309</v>
      </c>
    </row>
    <row r="3" spans="1:31" x14ac:dyDescent="0.2">
      <c r="A3" t="s">
        <v>0</v>
      </c>
      <c r="B3" t="s">
        <v>1</v>
      </c>
      <c r="C3" t="s">
        <v>2</v>
      </c>
      <c r="D3" t="s">
        <v>3</v>
      </c>
      <c r="E3" t="s">
        <v>4</v>
      </c>
      <c r="F3" t="s">
        <v>5</v>
      </c>
      <c r="G3" t="s">
        <v>6</v>
      </c>
      <c r="H3" t="s">
        <v>7</v>
      </c>
      <c r="I3" t="s">
        <v>8</v>
      </c>
      <c r="J3" t="s">
        <v>9</v>
      </c>
      <c r="K3" t="s">
        <v>10</v>
      </c>
      <c r="L3" t="s">
        <v>11</v>
      </c>
      <c r="M3" t="s">
        <v>12</v>
      </c>
      <c r="N3" t="s">
        <v>13</v>
      </c>
      <c r="O3" t="s">
        <v>14</v>
      </c>
      <c r="P3" t="s">
        <v>15</v>
      </c>
      <c r="Q3" t="s">
        <v>16</v>
      </c>
      <c r="R3" t="s">
        <v>17</v>
      </c>
      <c r="S3" t="s">
        <v>18</v>
      </c>
      <c r="T3" t="s">
        <v>19</v>
      </c>
      <c r="U3" t="s">
        <v>20</v>
      </c>
      <c r="V3" t="s">
        <v>21</v>
      </c>
      <c r="W3" t="s">
        <v>22</v>
      </c>
      <c r="X3" t="s">
        <v>23</v>
      </c>
      <c r="Y3" t="s">
        <v>24</v>
      </c>
      <c r="Z3" t="s">
        <v>25</v>
      </c>
      <c r="AA3" t="s">
        <v>26</v>
      </c>
      <c r="AB3" t="s">
        <v>27</v>
      </c>
      <c r="AC3" t="s">
        <v>28</v>
      </c>
      <c r="AD3" t="s">
        <v>29</v>
      </c>
      <c r="AE3" t="s">
        <v>30</v>
      </c>
    </row>
    <row r="4" spans="1:31" x14ac:dyDescent="0.2">
      <c r="A4">
        <v>4600060028</v>
      </c>
      <c r="D4" t="s">
        <v>31</v>
      </c>
      <c r="E4">
        <v>3047909</v>
      </c>
      <c r="G4" t="s">
        <v>183</v>
      </c>
      <c r="H4" s="2">
        <v>45901</v>
      </c>
      <c r="I4" s="2">
        <v>46234</v>
      </c>
      <c r="J4">
        <v>362703.76</v>
      </c>
      <c r="K4">
        <v>32012.34</v>
      </c>
      <c r="L4">
        <v>330691.42</v>
      </c>
      <c r="M4" t="s">
        <v>184</v>
      </c>
      <c r="N4" t="s">
        <v>185</v>
      </c>
      <c r="O4" t="s">
        <v>186</v>
      </c>
      <c r="P4" t="s">
        <v>187</v>
      </c>
      <c r="Q4" t="s">
        <v>38</v>
      </c>
      <c r="R4" t="s">
        <v>130</v>
      </c>
      <c r="S4">
        <v>10</v>
      </c>
      <c r="T4">
        <v>362703.76</v>
      </c>
      <c r="U4">
        <v>32012.34</v>
      </c>
      <c r="V4">
        <v>330691.42</v>
      </c>
      <c r="W4">
        <v>362703.76</v>
      </c>
      <c r="X4" t="s">
        <v>87</v>
      </c>
      <c r="Y4" t="s">
        <v>88</v>
      </c>
      <c r="Z4" t="s">
        <v>31</v>
      </c>
      <c r="AA4" t="s">
        <v>44</v>
      </c>
      <c r="AB4" t="s">
        <v>45</v>
      </c>
      <c r="AC4" t="s">
        <v>46</v>
      </c>
      <c r="AD4">
        <v>0</v>
      </c>
      <c r="AE4">
        <v>0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0D56FE-F1BE-A149-8A22-BC89BDCF40DB}">
  <dimension ref="A1:H24"/>
  <sheetViews>
    <sheetView tabSelected="1" workbookViewId="0">
      <pane xSplit="1" ySplit="3" topLeftCell="B4" activePane="bottomRight" state="frozen"/>
      <selection pane="topRight" activeCell="B1" sqref="B1"/>
      <selection pane="bottomLeft" activeCell="A4" sqref="A4"/>
      <selection pane="bottomRight" activeCell="B20" sqref="B20"/>
    </sheetView>
  </sheetViews>
  <sheetFormatPr baseColWidth="10" defaultRowHeight="15" x14ac:dyDescent="0.2"/>
  <cols>
    <col min="1" max="1" width="30.33203125" bestFit="1" customWidth="1"/>
    <col min="2" max="2" width="16.33203125" bestFit="1" customWidth="1"/>
    <col min="3" max="3" width="18.1640625" bestFit="1" customWidth="1"/>
    <col min="4" max="4" width="14.6640625" bestFit="1" customWidth="1"/>
    <col min="5" max="5" width="18.33203125" bestFit="1" customWidth="1"/>
    <col min="6" max="6" width="25.33203125" bestFit="1" customWidth="1"/>
    <col min="7" max="7" width="27.33203125" bestFit="1" customWidth="1"/>
    <col min="8" max="8" width="19.83203125" bestFit="1" customWidth="1"/>
  </cols>
  <sheetData>
    <row r="1" spans="1:8" x14ac:dyDescent="0.2">
      <c r="A1" s="7" t="s">
        <v>2</v>
      </c>
      <c r="B1" t="s">
        <v>308</v>
      </c>
    </row>
    <row r="3" spans="1:8" x14ac:dyDescent="0.2">
      <c r="A3" s="7" t="s">
        <v>300</v>
      </c>
      <c r="B3" t="s">
        <v>302</v>
      </c>
      <c r="C3" t="s">
        <v>303</v>
      </c>
      <c r="D3" t="s">
        <v>307</v>
      </c>
      <c r="E3" t="s">
        <v>299</v>
      </c>
      <c r="F3" t="s">
        <v>304</v>
      </c>
      <c r="G3" t="s">
        <v>305</v>
      </c>
      <c r="H3" t="s">
        <v>306</v>
      </c>
    </row>
    <row r="4" spans="1:8" x14ac:dyDescent="0.2">
      <c r="A4" s="9" t="s">
        <v>71</v>
      </c>
      <c r="B4" s="10">
        <v>35256459.57</v>
      </c>
      <c r="C4" s="10">
        <v>13541286.02</v>
      </c>
      <c r="D4" s="10">
        <v>21715173.550000001</v>
      </c>
      <c r="E4" s="6">
        <v>1</v>
      </c>
      <c r="F4" s="3">
        <v>7051291.9140000008</v>
      </c>
      <c r="G4" s="3">
        <v>2708257.2040000004</v>
      </c>
      <c r="H4" s="3">
        <v>4343034.71</v>
      </c>
    </row>
    <row r="5" spans="1:8" x14ac:dyDescent="0.2">
      <c r="A5" s="9" t="s">
        <v>47</v>
      </c>
      <c r="B5" s="10">
        <v>31864109.760000002</v>
      </c>
      <c r="C5" s="10">
        <v>12226259.65</v>
      </c>
      <c r="D5" s="10">
        <v>19637850.109999999</v>
      </c>
      <c r="E5" s="6">
        <v>1</v>
      </c>
      <c r="F5" s="3">
        <v>15932054.880000001</v>
      </c>
      <c r="G5" s="3">
        <v>6113129.8250000002</v>
      </c>
      <c r="H5" s="3">
        <v>9818925.0549999997</v>
      </c>
    </row>
    <row r="6" spans="1:8" x14ac:dyDescent="0.2">
      <c r="A6" s="9" t="s">
        <v>84</v>
      </c>
      <c r="B6" s="10">
        <v>20594515.619999997</v>
      </c>
      <c r="C6" s="10">
        <v>6196485.4100000001</v>
      </c>
      <c r="D6" s="10">
        <v>14398030.210000001</v>
      </c>
      <c r="E6" s="6">
        <v>2</v>
      </c>
      <c r="F6" s="3">
        <v>4768580.9814700186</v>
      </c>
      <c r="G6" s="3">
        <v>1259868.1393036752</v>
      </c>
      <c r="H6" s="3">
        <v>3508712.8421663446</v>
      </c>
    </row>
    <row r="7" spans="1:8" x14ac:dyDescent="0.2">
      <c r="A7" s="9" t="s">
        <v>64</v>
      </c>
      <c r="B7" s="10">
        <v>22873056.829999998</v>
      </c>
      <c r="C7" s="10">
        <v>13327570.789999999</v>
      </c>
      <c r="D7" s="10">
        <v>9545486.0399999991</v>
      </c>
      <c r="E7" s="6">
        <v>1</v>
      </c>
      <c r="F7" s="3">
        <v>7842190.9131428562</v>
      </c>
      <c r="G7" s="3">
        <v>4569452.8422857141</v>
      </c>
      <c r="H7" s="3">
        <v>3272738.0708571426</v>
      </c>
    </row>
    <row r="8" spans="1:8" x14ac:dyDescent="0.2">
      <c r="A8" s="9" t="s">
        <v>96</v>
      </c>
      <c r="B8" s="10">
        <v>13183380.73</v>
      </c>
      <c r="C8" s="10">
        <v>7691838.4800000004</v>
      </c>
      <c r="D8" s="10">
        <v>5491542.25</v>
      </c>
      <c r="E8" s="6">
        <v>1</v>
      </c>
      <c r="F8" s="3">
        <v>2593451.9468852459</v>
      </c>
      <c r="G8" s="3">
        <v>1513148.553442623</v>
      </c>
      <c r="H8" s="3">
        <v>1080303.3934426229</v>
      </c>
    </row>
    <row r="9" spans="1:8" x14ac:dyDescent="0.2">
      <c r="A9" s="9" t="s">
        <v>94</v>
      </c>
      <c r="B9" s="10">
        <v>6722721.8399999999</v>
      </c>
      <c r="C9" s="10">
        <v>1424787.6</v>
      </c>
      <c r="D9" s="10">
        <v>5297934.24</v>
      </c>
      <c r="E9" s="6">
        <v>4</v>
      </c>
      <c r="F9" s="3">
        <v>5528129.3899999997</v>
      </c>
      <c r="G9" s="3">
        <v>1120979.3149999999</v>
      </c>
      <c r="H9" s="3">
        <v>4407150.0750000002</v>
      </c>
    </row>
    <row r="10" spans="1:8" x14ac:dyDescent="0.2">
      <c r="A10" s="9" t="s">
        <v>161</v>
      </c>
      <c r="B10" s="10">
        <v>4532858.5999999996</v>
      </c>
      <c r="C10" s="10">
        <v>2547914.4699999997</v>
      </c>
      <c r="D10" s="10">
        <v>1984944.13</v>
      </c>
      <c r="E10" s="6">
        <v>2</v>
      </c>
      <c r="F10" s="3">
        <v>1132249.0079999999</v>
      </c>
      <c r="G10" s="3">
        <v>663993.66999999993</v>
      </c>
      <c r="H10" s="3">
        <v>468255.33799999999</v>
      </c>
    </row>
    <row r="11" spans="1:8" x14ac:dyDescent="0.2">
      <c r="A11" s="9" t="s">
        <v>167</v>
      </c>
      <c r="B11" s="10">
        <v>1636443.37</v>
      </c>
      <c r="C11" s="10">
        <v>504756.09</v>
      </c>
      <c r="D11" s="10">
        <v>1131687.28</v>
      </c>
      <c r="E11" s="6">
        <v>1</v>
      </c>
      <c r="F11" s="3">
        <v>516771.59052631585</v>
      </c>
      <c r="G11" s="3">
        <v>159396.66</v>
      </c>
      <c r="H11" s="3">
        <v>357374.93052631576</v>
      </c>
    </row>
    <row r="12" spans="1:8" x14ac:dyDescent="0.2">
      <c r="A12" s="8" t="s">
        <v>122</v>
      </c>
      <c r="B12" s="3">
        <v>2615957.6800000002</v>
      </c>
      <c r="C12" s="3">
        <v>1725632.7</v>
      </c>
      <c r="D12" s="3">
        <v>890324.98</v>
      </c>
      <c r="E12" s="6">
        <v>1</v>
      </c>
      <c r="F12" s="3">
        <v>1364847.4852173915</v>
      </c>
      <c r="G12" s="3">
        <v>900330.10434782598</v>
      </c>
      <c r="H12" s="3">
        <v>464517.38086956518</v>
      </c>
    </row>
    <row r="13" spans="1:8" x14ac:dyDescent="0.2">
      <c r="A13" s="8" t="s">
        <v>194</v>
      </c>
      <c r="B13" s="3">
        <v>1281707.6599999999</v>
      </c>
      <c r="C13" s="3">
        <v>488092</v>
      </c>
      <c r="D13" s="3">
        <v>793615.66</v>
      </c>
      <c r="E13" s="6">
        <v>1</v>
      </c>
      <c r="F13" s="3">
        <v>260686.30372881354</v>
      </c>
      <c r="G13" s="3">
        <v>99272.94915254238</v>
      </c>
      <c r="H13" s="3">
        <v>161413.35457627117</v>
      </c>
    </row>
    <row r="14" spans="1:8" x14ac:dyDescent="0.2">
      <c r="A14" s="8" t="s">
        <v>120</v>
      </c>
      <c r="B14" s="3">
        <v>5650208.9900000002</v>
      </c>
      <c r="C14" s="3">
        <v>4985637.84</v>
      </c>
      <c r="D14" s="3">
        <v>664571.15</v>
      </c>
      <c r="E14" s="6">
        <v>1</v>
      </c>
      <c r="F14" s="3">
        <v>1412552.2474999998</v>
      </c>
      <c r="G14" s="3">
        <v>1246409.46</v>
      </c>
      <c r="H14" s="3">
        <v>166142.78750000001</v>
      </c>
    </row>
    <row r="15" spans="1:8" x14ac:dyDescent="0.2">
      <c r="A15" s="9" t="s">
        <v>143</v>
      </c>
      <c r="B15" s="10">
        <v>947969.46</v>
      </c>
      <c r="C15" s="10">
        <v>400502</v>
      </c>
      <c r="D15" s="10">
        <v>547467.46</v>
      </c>
      <c r="E15" s="6">
        <v>1</v>
      </c>
      <c r="F15" s="3">
        <v>947969.46</v>
      </c>
      <c r="G15" s="3">
        <v>400502</v>
      </c>
      <c r="H15" s="3">
        <v>547467.46</v>
      </c>
    </row>
    <row r="16" spans="1:8" x14ac:dyDescent="0.2">
      <c r="A16" s="9" t="s">
        <v>116</v>
      </c>
      <c r="B16" s="10">
        <v>1283608.5900000001</v>
      </c>
      <c r="C16" s="10">
        <v>864639.55</v>
      </c>
      <c r="D16" s="10">
        <v>418969.04</v>
      </c>
      <c r="E16" s="6">
        <v>1</v>
      </c>
      <c r="F16" s="3">
        <v>119405.45023255816</v>
      </c>
      <c r="G16" s="3">
        <v>80431.586046511642</v>
      </c>
      <c r="H16" s="3">
        <v>38973.864186046507</v>
      </c>
    </row>
    <row r="17" spans="1:8" x14ac:dyDescent="0.2">
      <c r="A17" s="8" t="s">
        <v>215</v>
      </c>
      <c r="B17" s="3">
        <v>431820.18</v>
      </c>
      <c r="C17" s="3">
        <v>168160.32</v>
      </c>
      <c r="D17" s="3">
        <v>263659.86</v>
      </c>
      <c r="E17" s="6">
        <v>1</v>
      </c>
      <c r="F17" s="3">
        <v>148052.63314285714</v>
      </c>
      <c r="G17" s="3">
        <v>57654.966857142863</v>
      </c>
      <c r="H17" s="3">
        <v>90397.66628571428</v>
      </c>
    </row>
    <row r="18" spans="1:8" x14ac:dyDescent="0.2">
      <c r="A18" s="8" t="s">
        <v>196</v>
      </c>
      <c r="B18" s="3">
        <v>813421</v>
      </c>
      <c r="C18" s="3">
        <v>714677.7</v>
      </c>
      <c r="D18" s="3">
        <v>98743.3</v>
      </c>
      <c r="E18" s="6">
        <v>1</v>
      </c>
      <c r="F18" s="3">
        <v>256869.78947368421</v>
      </c>
      <c r="G18" s="3">
        <v>225687.69473684207</v>
      </c>
      <c r="H18" s="3">
        <v>31182.094736842108</v>
      </c>
    </row>
    <row r="19" spans="1:8" x14ac:dyDescent="0.2">
      <c r="A19" s="8" t="s">
        <v>258</v>
      </c>
      <c r="B19" s="3">
        <v>270592.12</v>
      </c>
      <c r="C19" s="3">
        <v>175104.8</v>
      </c>
      <c r="D19" s="3">
        <v>95487.32</v>
      </c>
      <c r="E19" s="6">
        <v>1</v>
      </c>
      <c r="F19" s="3">
        <v>45098.686666666668</v>
      </c>
      <c r="G19" s="3">
        <v>29184.133333333328</v>
      </c>
      <c r="H19" s="3">
        <v>15914.553333333335</v>
      </c>
    </row>
    <row r="20" spans="1:8" x14ac:dyDescent="0.2">
      <c r="A20" s="8" t="s">
        <v>190</v>
      </c>
      <c r="B20" s="3">
        <v>1256107.8600000001</v>
      </c>
      <c r="C20" s="3">
        <v>1214919.3899999999</v>
      </c>
      <c r="D20" s="3">
        <v>41188.47</v>
      </c>
      <c r="E20" s="6">
        <v>1</v>
      </c>
      <c r="F20" s="3">
        <v>314026.96500000003</v>
      </c>
      <c r="G20" s="3">
        <v>303729.84749999997</v>
      </c>
      <c r="H20" s="3">
        <v>10297.1175</v>
      </c>
    </row>
    <row r="21" spans="1:8" x14ac:dyDescent="0.2">
      <c r="A21" s="8" t="s">
        <v>228</v>
      </c>
      <c r="B21" s="3">
        <v>208000</v>
      </c>
      <c r="C21" s="3">
        <v>169000</v>
      </c>
      <c r="D21" s="3">
        <v>39000</v>
      </c>
      <c r="E21" s="6">
        <v>1</v>
      </c>
      <c r="F21" s="3">
        <v>108521.73913043478</v>
      </c>
      <c r="G21" s="3">
        <v>88173.913043478256</v>
      </c>
      <c r="H21" s="3">
        <v>20347.82608695652</v>
      </c>
    </row>
    <row r="22" spans="1:8" x14ac:dyDescent="0.2">
      <c r="A22" s="8" t="s">
        <v>239</v>
      </c>
      <c r="B22" s="3">
        <v>77169.38</v>
      </c>
      <c r="C22" s="3">
        <v>72860.759999999995</v>
      </c>
      <c r="D22" s="3">
        <v>4308.62</v>
      </c>
      <c r="E22" s="6">
        <v>1</v>
      </c>
      <c r="F22" s="3">
        <v>77169.38</v>
      </c>
      <c r="G22" s="3">
        <v>72860.759999999995</v>
      </c>
      <c r="H22" s="3">
        <v>4308.62</v>
      </c>
    </row>
    <row r="23" spans="1:8" x14ac:dyDescent="0.2">
      <c r="A23" s="8" t="s">
        <v>247</v>
      </c>
      <c r="B23" s="3">
        <v>87513.47</v>
      </c>
      <c r="C23" s="3">
        <v>87513.47</v>
      </c>
      <c r="D23" s="3">
        <v>0</v>
      </c>
      <c r="E23" s="6">
        <v>1</v>
      </c>
      <c r="F23" s="3">
        <v>17799.349830508476</v>
      </c>
      <c r="G23" s="3">
        <v>17799.349830508476</v>
      </c>
      <c r="H23" s="3">
        <v>0</v>
      </c>
    </row>
    <row r="24" spans="1:8" x14ac:dyDescent="0.2">
      <c r="A24" s="8" t="s">
        <v>301</v>
      </c>
      <c r="B24" s="3">
        <v>151587622.71000004</v>
      </c>
      <c r="C24" s="3">
        <v>68527639.040000007</v>
      </c>
      <c r="D24" s="3">
        <v>83059983.670000002</v>
      </c>
      <c r="E24" s="6">
        <v>25</v>
      </c>
      <c r="F24" s="3">
        <v>50437720.113947347</v>
      </c>
      <c r="G24" s="3">
        <v>21630262.973880194</v>
      </c>
      <c r="H24" s="3">
        <v>28807457.14006716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E92"/>
  <sheetViews>
    <sheetView zoomScale="80" zoomScaleNormal="80" workbookViewId="0">
      <selection activeCell="C1" sqref="C1"/>
    </sheetView>
  </sheetViews>
  <sheetFormatPr baseColWidth="10" defaultColWidth="8.83203125" defaultRowHeight="15" x14ac:dyDescent="0.2"/>
  <cols>
    <col min="1" max="1" width="13.5" bestFit="1" customWidth="1"/>
    <col min="2" max="2" width="29.33203125" bestFit="1" customWidth="1"/>
    <col min="3" max="3" width="20.6640625" bestFit="1" customWidth="1"/>
    <col min="4" max="4" width="9.5" bestFit="1" customWidth="1"/>
    <col min="5" max="5" width="19.5" bestFit="1" customWidth="1"/>
    <col min="6" max="6" width="46.5" bestFit="1" customWidth="1"/>
    <col min="7" max="7" width="159.5" bestFit="1" customWidth="1"/>
    <col min="8" max="8" width="15.5" bestFit="1" customWidth="1"/>
    <col min="9" max="9" width="17.5" bestFit="1" customWidth="1"/>
    <col min="10" max="12" width="16" bestFit="1" customWidth="1"/>
    <col min="13" max="13" width="42" bestFit="1" customWidth="1"/>
    <col min="14" max="14" width="53.6640625" bestFit="1" customWidth="1"/>
    <col min="15" max="15" width="37.5" bestFit="1" customWidth="1"/>
    <col min="16" max="16" width="29.83203125" bestFit="1" customWidth="1"/>
    <col min="17" max="17" width="25.33203125" bestFit="1" customWidth="1"/>
    <col min="18" max="18" width="40.33203125" bestFit="1" customWidth="1"/>
    <col min="19" max="19" width="9.5" bestFit="1" customWidth="1"/>
    <col min="20" max="20" width="25.5" bestFit="1" customWidth="1"/>
    <col min="21" max="21" width="28.1640625" bestFit="1" customWidth="1"/>
    <col min="22" max="22" width="18.6640625" bestFit="1" customWidth="1"/>
    <col min="23" max="23" width="24.5" bestFit="1" customWidth="1"/>
    <col min="24" max="24" width="25.1640625" bestFit="1" customWidth="1"/>
    <col min="25" max="25" width="53.5" bestFit="1" customWidth="1"/>
    <col min="26" max="26" width="25.6640625" bestFit="1" customWidth="1"/>
    <col min="27" max="27" width="19.5" bestFit="1" customWidth="1"/>
    <col min="28" max="28" width="8" bestFit="1" customWidth="1"/>
    <col min="29" max="29" width="14.5" bestFit="1" customWidth="1"/>
    <col min="30" max="30" width="18" bestFit="1" customWidth="1"/>
    <col min="31" max="31" width="17.1640625" bestFit="1" customWidth="1"/>
  </cols>
  <sheetData>
    <row r="1" spans="1:31" x14ac:dyDescent="0.2">
      <c r="A1" s="1" t="s">
        <v>0</v>
      </c>
      <c r="B1" s="1" t="s">
        <v>1</v>
      </c>
      <c r="C1" s="12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</row>
    <row r="2" spans="1:31" x14ac:dyDescent="0.2">
      <c r="A2">
        <v>4600058742</v>
      </c>
      <c r="C2" s="2"/>
      <c r="D2" t="s">
        <v>31</v>
      </c>
      <c r="E2">
        <v>166504</v>
      </c>
      <c r="F2" t="s">
        <v>32</v>
      </c>
      <c r="G2" t="s">
        <v>33</v>
      </c>
      <c r="H2" s="2">
        <v>44966</v>
      </c>
      <c r="I2" s="2">
        <v>46062</v>
      </c>
      <c r="J2" s="3">
        <v>50363242.740000002</v>
      </c>
      <c r="K2" s="3">
        <v>47077929.700000003</v>
      </c>
      <c r="L2" s="3">
        <v>3285313.04</v>
      </c>
      <c r="M2" t="s">
        <v>34</v>
      </c>
      <c r="N2" t="s">
        <v>35</v>
      </c>
      <c r="O2" t="s">
        <v>36</v>
      </c>
      <c r="P2" t="s">
        <v>37</v>
      </c>
      <c r="Q2" t="s">
        <v>38</v>
      </c>
      <c r="R2" t="s">
        <v>40</v>
      </c>
      <c r="S2" s="4">
        <v>36</v>
      </c>
      <c r="T2" s="3">
        <v>16787747.579999998</v>
      </c>
      <c r="U2" s="3">
        <v>15692643.233333336</v>
      </c>
      <c r="V2" s="3">
        <v>1095104.3466666667</v>
      </c>
      <c r="W2" s="3">
        <v>16787747.580000002</v>
      </c>
      <c r="X2" t="s">
        <v>41</v>
      </c>
      <c r="Y2" t="s">
        <v>42</v>
      </c>
      <c r="Z2" t="s">
        <v>43</v>
      </c>
      <c r="AA2" t="s">
        <v>44</v>
      </c>
      <c r="AB2" t="s">
        <v>45</v>
      </c>
      <c r="AC2" t="s">
        <v>46</v>
      </c>
      <c r="AD2" s="5">
        <v>0</v>
      </c>
      <c r="AE2" s="5">
        <v>0</v>
      </c>
    </row>
    <row r="3" spans="1:31" x14ac:dyDescent="0.2">
      <c r="A3">
        <v>4600058664</v>
      </c>
      <c r="C3" s="2">
        <v>45642</v>
      </c>
      <c r="D3" t="s">
        <v>31</v>
      </c>
      <c r="E3">
        <v>103467</v>
      </c>
      <c r="F3" t="s">
        <v>47</v>
      </c>
      <c r="G3" t="s">
        <v>39</v>
      </c>
      <c r="H3" s="2">
        <v>45627</v>
      </c>
      <c r="I3" s="2">
        <v>46387</v>
      </c>
      <c r="J3" s="3">
        <v>31864109.760000002</v>
      </c>
      <c r="K3" s="3">
        <v>12226259.65</v>
      </c>
      <c r="L3" s="3">
        <v>19637850.109999999</v>
      </c>
      <c r="M3" t="s">
        <v>48</v>
      </c>
      <c r="N3" t="s">
        <v>49</v>
      </c>
      <c r="O3" t="s">
        <v>50</v>
      </c>
      <c r="P3" t="s">
        <v>51</v>
      </c>
      <c r="Q3" t="s">
        <v>38</v>
      </c>
      <c r="R3" t="s">
        <v>52</v>
      </c>
      <c r="S3" s="4">
        <v>24</v>
      </c>
      <c r="T3" s="3">
        <v>15932054.880000001</v>
      </c>
      <c r="U3" s="3">
        <v>6113129.8250000002</v>
      </c>
      <c r="V3" s="3">
        <v>9818925.0549999997</v>
      </c>
      <c r="W3" s="3">
        <v>15932054.879999999</v>
      </c>
      <c r="X3" t="s">
        <v>53</v>
      </c>
      <c r="Y3" t="s">
        <v>54</v>
      </c>
      <c r="Z3" t="s">
        <v>43</v>
      </c>
      <c r="AA3" t="s">
        <v>44</v>
      </c>
      <c r="AB3" t="s">
        <v>45</v>
      </c>
      <c r="AC3" t="s">
        <v>55</v>
      </c>
      <c r="AD3" s="5">
        <v>0</v>
      </c>
      <c r="AE3" s="5">
        <v>1</v>
      </c>
    </row>
    <row r="4" spans="1:31" x14ac:dyDescent="0.2">
      <c r="A4">
        <v>4600060069</v>
      </c>
      <c r="C4" s="2"/>
      <c r="D4" t="s">
        <v>31</v>
      </c>
      <c r="E4">
        <v>101745</v>
      </c>
      <c r="F4" t="s">
        <v>56</v>
      </c>
      <c r="G4" t="s">
        <v>57</v>
      </c>
      <c r="H4" s="2">
        <v>45658</v>
      </c>
      <c r="I4" s="2">
        <v>46053</v>
      </c>
      <c r="J4" s="3">
        <v>9308164.0500000007</v>
      </c>
      <c r="K4" s="3">
        <v>9308164.0500000007</v>
      </c>
      <c r="L4" s="3">
        <v>0</v>
      </c>
      <c r="M4" t="s">
        <v>58</v>
      </c>
      <c r="N4" t="s">
        <v>59</v>
      </c>
      <c r="O4" t="s">
        <v>60</v>
      </c>
      <c r="P4" t="s">
        <v>61</v>
      </c>
      <c r="Q4" t="s">
        <v>62</v>
      </c>
      <c r="S4" s="4">
        <v>12</v>
      </c>
      <c r="T4" s="3">
        <v>9308164.0500000007</v>
      </c>
      <c r="U4" s="3">
        <v>9308164.0500000007</v>
      </c>
      <c r="V4" s="3">
        <v>0</v>
      </c>
      <c r="W4" s="3">
        <v>9308164.0500000007</v>
      </c>
      <c r="X4" t="s">
        <v>53</v>
      </c>
      <c r="Y4" t="s">
        <v>54</v>
      </c>
      <c r="Z4" t="s">
        <v>43</v>
      </c>
      <c r="AA4" t="s">
        <v>63</v>
      </c>
      <c r="AB4" t="s">
        <v>45</v>
      </c>
      <c r="AC4" t="s">
        <v>46</v>
      </c>
      <c r="AD4" s="5">
        <v>0</v>
      </c>
      <c r="AE4" s="5">
        <v>0</v>
      </c>
    </row>
    <row r="5" spans="1:31" x14ac:dyDescent="0.2">
      <c r="A5">
        <v>4600058741</v>
      </c>
      <c r="B5">
        <v>68673934</v>
      </c>
      <c r="C5" s="2">
        <v>46035</v>
      </c>
      <c r="D5" t="s">
        <v>31</v>
      </c>
      <c r="E5">
        <v>3037543</v>
      </c>
      <c r="F5" t="s">
        <v>64</v>
      </c>
      <c r="G5" t="s">
        <v>65</v>
      </c>
      <c r="H5" s="2">
        <v>44958</v>
      </c>
      <c r="I5" s="2">
        <v>46053</v>
      </c>
      <c r="J5" s="3">
        <v>22873056.829999998</v>
      </c>
      <c r="K5" s="3">
        <v>13327570.789999999</v>
      </c>
      <c r="L5" s="3">
        <v>9545486.0399999991</v>
      </c>
      <c r="M5" t="s">
        <v>58</v>
      </c>
      <c r="N5" t="s">
        <v>59</v>
      </c>
      <c r="O5" t="s">
        <v>60</v>
      </c>
      <c r="P5" t="s">
        <v>66</v>
      </c>
      <c r="Q5" t="s">
        <v>67</v>
      </c>
      <c r="R5" t="s">
        <v>40</v>
      </c>
      <c r="S5" s="4">
        <v>35</v>
      </c>
      <c r="T5" s="3">
        <v>7842190.9131428562</v>
      </c>
      <c r="U5" s="3">
        <v>4569452.8422857141</v>
      </c>
      <c r="V5" s="3">
        <v>3272738.0708571426</v>
      </c>
      <c r="W5" s="3">
        <v>7842190.9131428562</v>
      </c>
      <c r="X5" t="s">
        <v>68</v>
      </c>
      <c r="Y5" t="s">
        <v>69</v>
      </c>
      <c r="Z5" t="s">
        <v>43</v>
      </c>
      <c r="AA5" t="s">
        <v>70</v>
      </c>
      <c r="AB5" t="s">
        <v>45</v>
      </c>
      <c r="AC5" t="s">
        <v>55</v>
      </c>
      <c r="AD5" s="5">
        <v>0</v>
      </c>
      <c r="AE5" s="5">
        <v>1</v>
      </c>
    </row>
    <row r="6" spans="1:31" x14ac:dyDescent="0.2">
      <c r="A6">
        <v>4600058671</v>
      </c>
      <c r="B6">
        <v>68243769</v>
      </c>
      <c r="C6" s="2">
        <v>46035</v>
      </c>
      <c r="D6" t="s">
        <v>31</v>
      </c>
      <c r="E6">
        <v>3036653</v>
      </c>
      <c r="F6" t="s">
        <v>71</v>
      </c>
      <c r="G6" t="s">
        <v>72</v>
      </c>
      <c r="H6" s="2">
        <v>44267</v>
      </c>
      <c r="I6" s="2">
        <v>46092</v>
      </c>
      <c r="J6" s="3">
        <v>35256459.57</v>
      </c>
      <c r="K6" s="3">
        <v>13541286.02</v>
      </c>
      <c r="L6" s="3">
        <v>21715173.550000001</v>
      </c>
      <c r="M6" t="s">
        <v>48</v>
      </c>
      <c r="N6" t="s">
        <v>49</v>
      </c>
      <c r="O6" t="s">
        <v>50</v>
      </c>
      <c r="P6" t="s">
        <v>73</v>
      </c>
      <c r="Q6" t="s">
        <v>62</v>
      </c>
      <c r="R6" t="s">
        <v>74</v>
      </c>
      <c r="S6" s="4">
        <v>60</v>
      </c>
      <c r="T6" s="3">
        <v>7051291.9140000008</v>
      </c>
      <c r="U6" s="3">
        <v>2708257.2040000004</v>
      </c>
      <c r="V6" s="3">
        <v>4343034.71</v>
      </c>
      <c r="W6" s="3">
        <v>7051291.9140000008</v>
      </c>
      <c r="X6" t="s">
        <v>75</v>
      </c>
      <c r="Y6" t="s">
        <v>76</v>
      </c>
      <c r="Z6" t="s">
        <v>77</v>
      </c>
      <c r="AA6" t="s">
        <v>78</v>
      </c>
      <c r="AB6" t="s">
        <v>45</v>
      </c>
      <c r="AC6" t="s">
        <v>55</v>
      </c>
      <c r="AD6" s="5">
        <v>0</v>
      </c>
      <c r="AE6" s="5">
        <v>1</v>
      </c>
    </row>
    <row r="7" spans="1:31" x14ac:dyDescent="0.2">
      <c r="A7">
        <v>4600058677</v>
      </c>
      <c r="C7" s="2"/>
      <c r="D7" t="s">
        <v>31</v>
      </c>
      <c r="E7">
        <v>185065</v>
      </c>
      <c r="F7" t="s">
        <v>79</v>
      </c>
      <c r="G7" t="s">
        <v>80</v>
      </c>
      <c r="H7" s="2">
        <v>44348</v>
      </c>
      <c r="I7" s="2">
        <v>46173</v>
      </c>
      <c r="J7" s="3">
        <v>22565409.09</v>
      </c>
      <c r="K7" s="3">
        <v>9546629.0999999996</v>
      </c>
      <c r="L7" s="3">
        <v>13018779.99</v>
      </c>
      <c r="M7" t="s">
        <v>58</v>
      </c>
      <c r="N7" t="s">
        <v>59</v>
      </c>
      <c r="O7" t="s">
        <v>60</v>
      </c>
      <c r="P7" t="s">
        <v>66</v>
      </c>
      <c r="Q7" t="s">
        <v>67</v>
      </c>
      <c r="R7" t="s">
        <v>81</v>
      </c>
      <c r="S7" s="4">
        <v>59</v>
      </c>
      <c r="T7" s="3">
        <v>4589574.7301694909</v>
      </c>
      <c r="U7" s="3">
        <v>1941687.274576271</v>
      </c>
      <c r="V7" s="3">
        <v>2647887.4555932204</v>
      </c>
      <c r="W7" s="3">
        <v>4589574.7301694918</v>
      </c>
      <c r="X7" t="s">
        <v>82</v>
      </c>
      <c r="Y7" t="s">
        <v>83</v>
      </c>
      <c r="Z7" t="s">
        <v>43</v>
      </c>
      <c r="AA7" t="s">
        <v>70</v>
      </c>
      <c r="AB7" t="s">
        <v>45</v>
      </c>
      <c r="AC7" t="s">
        <v>46</v>
      </c>
      <c r="AD7" s="5">
        <v>0</v>
      </c>
      <c r="AE7" s="5">
        <v>0</v>
      </c>
    </row>
    <row r="8" spans="1:31" x14ac:dyDescent="0.2">
      <c r="A8">
        <v>4600059997</v>
      </c>
      <c r="C8" s="2">
        <v>46031</v>
      </c>
      <c r="D8" t="s">
        <v>31</v>
      </c>
      <c r="E8">
        <v>103862</v>
      </c>
      <c r="F8" t="s">
        <v>84</v>
      </c>
      <c r="G8" t="s">
        <v>85</v>
      </c>
      <c r="H8" s="2">
        <v>45901</v>
      </c>
      <c r="I8" s="2">
        <v>47361</v>
      </c>
      <c r="J8" s="3">
        <v>13933471.029999999</v>
      </c>
      <c r="K8" s="3">
        <v>1812689.46</v>
      </c>
      <c r="L8" s="3">
        <v>12120781.57</v>
      </c>
      <c r="M8" t="s">
        <v>58</v>
      </c>
      <c r="N8" t="s">
        <v>59</v>
      </c>
      <c r="O8" t="s">
        <v>60</v>
      </c>
      <c r="P8" t="s">
        <v>61</v>
      </c>
      <c r="Q8" t="s">
        <v>38</v>
      </c>
      <c r="R8" t="s">
        <v>86</v>
      </c>
      <c r="S8" s="4">
        <v>47</v>
      </c>
      <c r="T8" s="3">
        <v>3557481.9651063825</v>
      </c>
      <c r="U8" s="3">
        <v>462814.33021276596</v>
      </c>
      <c r="V8" s="3">
        <v>3094667.6348936171</v>
      </c>
      <c r="W8" s="3">
        <v>3557481.965106383</v>
      </c>
      <c r="X8" t="s">
        <v>87</v>
      </c>
      <c r="Y8" t="s">
        <v>88</v>
      </c>
      <c r="Z8" t="s">
        <v>43</v>
      </c>
      <c r="AA8" t="s">
        <v>44</v>
      </c>
      <c r="AB8" t="s">
        <v>45</v>
      </c>
      <c r="AC8" t="s">
        <v>55</v>
      </c>
      <c r="AD8" s="5">
        <v>0</v>
      </c>
      <c r="AE8" s="5">
        <v>1</v>
      </c>
    </row>
    <row r="9" spans="1:31" x14ac:dyDescent="0.2">
      <c r="A9">
        <v>4600059423</v>
      </c>
      <c r="B9">
        <v>69143440</v>
      </c>
      <c r="C9" s="2"/>
      <c r="D9" t="s">
        <v>31</v>
      </c>
      <c r="E9">
        <v>3047102</v>
      </c>
      <c r="F9" t="s">
        <v>89</v>
      </c>
      <c r="G9" t="s">
        <v>90</v>
      </c>
      <c r="H9" s="2">
        <v>45663</v>
      </c>
      <c r="I9" s="2">
        <v>46027</v>
      </c>
      <c r="J9" s="3">
        <v>3360000</v>
      </c>
      <c r="K9" s="3">
        <v>3117320.88</v>
      </c>
      <c r="L9" s="3">
        <v>242679.12</v>
      </c>
      <c r="M9" t="s">
        <v>48</v>
      </c>
      <c r="N9" t="s">
        <v>49</v>
      </c>
      <c r="O9" t="s">
        <v>50</v>
      </c>
      <c r="P9" t="s">
        <v>91</v>
      </c>
      <c r="Q9" t="s">
        <v>38</v>
      </c>
      <c r="S9" s="4">
        <v>12</v>
      </c>
      <c r="T9" s="3">
        <v>3360000</v>
      </c>
      <c r="U9" s="3">
        <v>3117320.88</v>
      </c>
      <c r="V9" s="3">
        <v>242679.12</v>
      </c>
      <c r="W9" s="3">
        <v>3360000</v>
      </c>
      <c r="X9" t="s">
        <v>87</v>
      </c>
      <c r="Y9" t="s">
        <v>88</v>
      </c>
      <c r="Z9" t="s">
        <v>43</v>
      </c>
      <c r="AA9" t="s">
        <v>44</v>
      </c>
      <c r="AB9" t="s">
        <v>45</v>
      </c>
      <c r="AC9" t="s">
        <v>46</v>
      </c>
      <c r="AD9" s="5">
        <v>0</v>
      </c>
      <c r="AE9" s="5">
        <v>0</v>
      </c>
    </row>
    <row r="10" spans="1:31" x14ac:dyDescent="0.2">
      <c r="A10">
        <v>4600060062</v>
      </c>
      <c r="C10" s="2"/>
      <c r="D10" t="s">
        <v>31</v>
      </c>
      <c r="E10">
        <v>131461</v>
      </c>
      <c r="F10" t="s">
        <v>92</v>
      </c>
      <c r="G10" t="s">
        <v>93</v>
      </c>
      <c r="H10" s="2">
        <v>45961</v>
      </c>
      <c r="I10" s="2">
        <v>46325</v>
      </c>
      <c r="J10" s="3">
        <v>3159287.99</v>
      </c>
      <c r="K10" s="3">
        <v>3159287.99</v>
      </c>
      <c r="L10" s="3">
        <v>0</v>
      </c>
      <c r="M10" t="s">
        <v>58</v>
      </c>
      <c r="N10" t="s">
        <v>59</v>
      </c>
      <c r="O10" t="s">
        <v>60</v>
      </c>
      <c r="P10" t="s">
        <v>61</v>
      </c>
      <c r="Q10" t="s">
        <v>62</v>
      </c>
      <c r="R10" t="s">
        <v>86</v>
      </c>
      <c r="S10" s="4">
        <v>12</v>
      </c>
      <c r="T10" s="3">
        <v>3159287.99</v>
      </c>
      <c r="U10" s="3">
        <v>3159287.99</v>
      </c>
      <c r="V10" s="3">
        <v>0</v>
      </c>
      <c r="W10" s="3">
        <v>3159287.99</v>
      </c>
      <c r="X10" t="s">
        <v>53</v>
      </c>
      <c r="Y10" t="s">
        <v>54</v>
      </c>
      <c r="Z10" t="s">
        <v>43</v>
      </c>
      <c r="AA10" t="s">
        <v>63</v>
      </c>
      <c r="AB10" t="s">
        <v>45</v>
      </c>
      <c r="AC10" t="s">
        <v>46</v>
      </c>
      <c r="AD10" s="5">
        <v>0</v>
      </c>
      <c r="AE10" s="5">
        <v>0</v>
      </c>
    </row>
    <row r="11" spans="1:31" x14ac:dyDescent="0.2">
      <c r="A11">
        <v>4600059937</v>
      </c>
      <c r="C11" s="2">
        <v>46029</v>
      </c>
      <c r="D11" t="s">
        <v>31</v>
      </c>
      <c r="E11">
        <v>3036529</v>
      </c>
      <c r="F11" t="s">
        <v>94</v>
      </c>
      <c r="G11" t="s">
        <v>95</v>
      </c>
      <c r="H11" s="2">
        <v>45867</v>
      </c>
      <c r="I11" s="2">
        <v>46231</v>
      </c>
      <c r="J11" s="3">
        <v>2750000</v>
      </c>
      <c r="K11" s="3">
        <v>152626.51</v>
      </c>
      <c r="L11" s="3">
        <v>2597373.4900000002</v>
      </c>
      <c r="M11" t="s">
        <v>58</v>
      </c>
      <c r="N11" t="s">
        <v>59</v>
      </c>
      <c r="O11" t="s">
        <v>60</v>
      </c>
      <c r="P11" t="s">
        <v>61</v>
      </c>
      <c r="Q11" t="s">
        <v>38</v>
      </c>
      <c r="R11" t="s">
        <v>86</v>
      </c>
      <c r="S11" s="4">
        <v>12</v>
      </c>
      <c r="T11" s="3">
        <v>2750000</v>
      </c>
      <c r="U11" s="3">
        <v>152626.51</v>
      </c>
      <c r="V11" s="3">
        <v>2597373.4900000002</v>
      </c>
      <c r="W11" s="3">
        <v>2750000</v>
      </c>
      <c r="X11" t="s">
        <v>68</v>
      </c>
      <c r="Y11" t="s">
        <v>69</v>
      </c>
      <c r="Z11" t="s">
        <v>43</v>
      </c>
      <c r="AA11" t="s">
        <v>44</v>
      </c>
      <c r="AB11" t="s">
        <v>45</v>
      </c>
      <c r="AC11" t="s">
        <v>55</v>
      </c>
      <c r="AD11" s="5">
        <v>0</v>
      </c>
      <c r="AE11" s="5">
        <v>1</v>
      </c>
    </row>
    <row r="12" spans="1:31" x14ac:dyDescent="0.2">
      <c r="A12">
        <v>4600058669</v>
      </c>
      <c r="C12" s="2">
        <v>46028</v>
      </c>
      <c r="D12" t="s">
        <v>31</v>
      </c>
      <c r="E12">
        <v>109828</v>
      </c>
      <c r="F12" t="s">
        <v>96</v>
      </c>
      <c r="G12" t="s">
        <v>97</v>
      </c>
      <c r="H12" s="2">
        <v>44188</v>
      </c>
      <c r="I12" s="2">
        <v>46053</v>
      </c>
      <c r="J12" s="3">
        <v>13183380.73</v>
      </c>
      <c r="K12" s="3">
        <v>7691838.4800000004</v>
      </c>
      <c r="L12" s="3">
        <v>5491542.25</v>
      </c>
      <c r="M12" t="s">
        <v>58</v>
      </c>
      <c r="N12" t="s">
        <v>59</v>
      </c>
      <c r="O12" t="s">
        <v>60</v>
      </c>
      <c r="P12" t="s">
        <v>66</v>
      </c>
      <c r="Q12" t="s">
        <v>38</v>
      </c>
      <c r="S12" s="4">
        <v>61</v>
      </c>
      <c r="T12" s="3">
        <v>2593451.9468852459</v>
      </c>
      <c r="U12" s="3">
        <v>1513148.553442623</v>
      </c>
      <c r="V12" s="3">
        <v>1080303.3934426229</v>
      </c>
      <c r="W12" s="3">
        <v>2593451.9468852459</v>
      </c>
      <c r="X12" t="s">
        <v>98</v>
      </c>
      <c r="Y12" t="s">
        <v>99</v>
      </c>
      <c r="Z12" t="s">
        <v>43</v>
      </c>
      <c r="AA12" t="s">
        <v>44</v>
      </c>
      <c r="AB12" t="s">
        <v>45</v>
      </c>
      <c r="AC12" t="s">
        <v>55</v>
      </c>
      <c r="AD12" s="5">
        <v>0</v>
      </c>
      <c r="AE12" s="5">
        <v>1</v>
      </c>
    </row>
    <row r="13" spans="1:31" x14ac:dyDescent="0.2">
      <c r="A13">
        <v>4600059141</v>
      </c>
      <c r="C13" s="2"/>
      <c r="D13" t="s">
        <v>31</v>
      </c>
      <c r="E13">
        <v>3045038</v>
      </c>
      <c r="F13" t="s">
        <v>100</v>
      </c>
      <c r="G13" t="s">
        <v>101</v>
      </c>
      <c r="H13" s="2">
        <v>45658</v>
      </c>
      <c r="I13" s="2">
        <v>46042</v>
      </c>
      <c r="J13" s="3">
        <v>2590977.56</v>
      </c>
      <c r="K13" s="3">
        <v>2329230.75</v>
      </c>
      <c r="L13" s="3">
        <v>261746.81</v>
      </c>
      <c r="M13" t="s">
        <v>58</v>
      </c>
      <c r="N13" t="s">
        <v>59</v>
      </c>
      <c r="O13" t="s">
        <v>60</v>
      </c>
      <c r="P13" t="s">
        <v>66</v>
      </c>
      <c r="Q13" t="s">
        <v>38</v>
      </c>
      <c r="S13" s="4">
        <v>12</v>
      </c>
      <c r="T13" s="3">
        <v>2590977.56</v>
      </c>
      <c r="U13" s="3">
        <v>2329230.75</v>
      </c>
      <c r="V13" s="3">
        <v>261746.81</v>
      </c>
      <c r="W13" s="3">
        <v>2590977.56</v>
      </c>
      <c r="X13" t="s">
        <v>68</v>
      </c>
      <c r="Y13" t="s">
        <v>69</v>
      </c>
      <c r="Z13" t="s">
        <v>31</v>
      </c>
      <c r="AA13" t="s">
        <v>44</v>
      </c>
      <c r="AB13" t="s">
        <v>45</v>
      </c>
      <c r="AC13" t="s">
        <v>46</v>
      </c>
      <c r="AD13" s="5">
        <v>0</v>
      </c>
      <c r="AE13" s="5">
        <v>0</v>
      </c>
    </row>
    <row r="14" spans="1:31" x14ac:dyDescent="0.2">
      <c r="A14">
        <v>4600058774</v>
      </c>
      <c r="C14" s="2"/>
      <c r="D14" t="s">
        <v>31</v>
      </c>
      <c r="E14">
        <v>3000082</v>
      </c>
      <c r="F14" t="s">
        <v>102</v>
      </c>
      <c r="G14" t="s">
        <v>103</v>
      </c>
      <c r="H14" s="2">
        <v>45274</v>
      </c>
      <c r="I14" s="2">
        <v>46446</v>
      </c>
      <c r="J14" s="3">
        <v>7478587.46</v>
      </c>
      <c r="K14" s="3">
        <v>3608400</v>
      </c>
      <c r="L14" s="3">
        <v>3870187.46</v>
      </c>
      <c r="M14" t="s">
        <v>58</v>
      </c>
      <c r="N14" t="s">
        <v>59</v>
      </c>
      <c r="O14" t="s">
        <v>60</v>
      </c>
      <c r="P14" t="s">
        <v>66</v>
      </c>
      <c r="Q14" t="s">
        <v>67</v>
      </c>
      <c r="R14" t="s">
        <v>81</v>
      </c>
      <c r="S14" s="4">
        <v>38</v>
      </c>
      <c r="T14" s="3">
        <v>2361659.1978947367</v>
      </c>
      <c r="U14" s="3">
        <v>1139494.7368421052</v>
      </c>
      <c r="V14" s="3">
        <v>1222164.4610526315</v>
      </c>
      <c r="W14" s="3">
        <v>2361659.1978947367</v>
      </c>
      <c r="X14" t="s">
        <v>87</v>
      </c>
      <c r="Y14" t="s">
        <v>88</v>
      </c>
      <c r="Z14" t="s">
        <v>43</v>
      </c>
      <c r="AA14" t="s">
        <v>70</v>
      </c>
      <c r="AB14" t="s">
        <v>45</v>
      </c>
      <c r="AC14" t="s">
        <v>46</v>
      </c>
      <c r="AD14" s="5">
        <v>0</v>
      </c>
      <c r="AE14" s="5">
        <v>0</v>
      </c>
    </row>
    <row r="15" spans="1:31" x14ac:dyDescent="0.2">
      <c r="A15">
        <v>4600058696</v>
      </c>
      <c r="C15" s="2"/>
      <c r="D15" t="s">
        <v>31</v>
      </c>
      <c r="E15">
        <v>182685</v>
      </c>
      <c r="F15" t="s">
        <v>104</v>
      </c>
      <c r="G15" t="s">
        <v>105</v>
      </c>
      <c r="H15" s="2">
        <v>44756</v>
      </c>
      <c r="I15" s="2">
        <v>46204</v>
      </c>
      <c r="J15" s="3">
        <v>8939654.1799999997</v>
      </c>
      <c r="K15" s="3">
        <v>3825479.15</v>
      </c>
      <c r="L15" s="3">
        <v>5114175.03</v>
      </c>
      <c r="M15" t="s">
        <v>58</v>
      </c>
      <c r="N15" t="s">
        <v>59</v>
      </c>
      <c r="O15" t="s">
        <v>60</v>
      </c>
      <c r="P15" t="s">
        <v>66</v>
      </c>
      <c r="Q15" t="s">
        <v>62</v>
      </c>
      <c r="R15" t="s">
        <v>106</v>
      </c>
      <c r="S15" s="4">
        <v>48</v>
      </c>
      <c r="T15" s="3">
        <v>2234913.5449999999</v>
      </c>
      <c r="U15" s="3">
        <v>956369.78749999998</v>
      </c>
      <c r="V15" s="3">
        <v>1278543.7575000001</v>
      </c>
      <c r="W15" s="3">
        <v>2234913.5449999999</v>
      </c>
      <c r="X15" t="s">
        <v>68</v>
      </c>
      <c r="Y15" t="s">
        <v>69</v>
      </c>
      <c r="Z15" t="s">
        <v>43</v>
      </c>
      <c r="AA15" t="s">
        <v>63</v>
      </c>
      <c r="AB15" t="s">
        <v>45</v>
      </c>
      <c r="AC15" t="s">
        <v>46</v>
      </c>
      <c r="AD15" s="5">
        <v>0</v>
      </c>
      <c r="AE15" s="5">
        <v>0</v>
      </c>
    </row>
    <row r="16" spans="1:31" x14ac:dyDescent="0.2">
      <c r="A16">
        <v>4600058778</v>
      </c>
      <c r="C16" s="2"/>
      <c r="D16" t="s">
        <v>31</v>
      </c>
      <c r="E16">
        <v>3024918</v>
      </c>
      <c r="F16" t="s">
        <v>107</v>
      </c>
      <c r="G16" t="s">
        <v>108</v>
      </c>
      <c r="H16" s="2">
        <v>45358</v>
      </c>
      <c r="I16" s="2">
        <v>46088</v>
      </c>
      <c r="J16" s="3">
        <v>3725971.57</v>
      </c>
      <c r="K16" s="3">
        <v>614000</v>
      </c>
      <c r="L16" s="3">
        <v>3111971.57</v>
      </c>
      <c r="M16" t="s">
        <v>58</v>
      </c>
      <c r="N16" t="s">
        <v>59</v>
      </c>
      <c r="O16" t="s">
        <v>60</v>
      </c>
      <c r="P16" t="s">
        <v>66</v>
      </c>
      <c r="Q16" t="s">
        <v>38</v>
      </c>
      <c r="R16" t="s">
        <v>86</v>
      </c>
      <c r="S16" s="4">
        <v>24</v>
      </c>
      <c r="T16" s="3">
        <v>1862985.7849999999</v>
      </c>
      <c r="U16" s="3">
        <v>307000</v>
      </c>
      <c r="V16" s="3">
        <v>1555985.7849999999</v>
      </c>
      <c r="W16" s="3">
        <v>1862985.7849999999</v>
      </c>
      <c r="X16" t="s">
        <v>68</v>
      </c>
      <c r="Y16" t="s">
        <v>69</v>
      </c>
      <c r="Z16" t="s">
        <v>43</v>
      </c>
      <c r="AA16" t="s">
        <v>44</v>
      </c>
      <c r="AB16" t="s">
        <v>45</v>
      </c>
      <c r="AC16" t="s">
        <v>46</v>
      </c>
      <c r="AD16" s="5">
        <v>0</v>
      </c>
      <c r="AE16" s="5">
        <v>0</v>
      </c>
    </row>
    <row r="17" spans="1:31" x14ac:dyDescent="0.2">
      <c r="A17">
        <v>4600058730</v>
      </c>
      <c r="C17" s="2"/>
      <c r="D17" t="s">
        <v>31</v>
      </c>
      <c r="E17">
        <v>101702</v>
      </c>
      <c r="F17" t="s">
        <v>109</v>
      </c>
      <c r="G17" t="s">
        <v>110</v>
      </c>
      <c r="H17" s="2">
        <v>44797</v>
      </c>
      <c r="I17" s="2">
        <v>46203</v>
      </c>
      <c r="J17" s="3">
        <v>6749625.7699999996</v>
      </c>
      <c r="K17" s="3">
        <v>0</v>
      </c>
      <c r="L17" s="3">
        <v>6749625.7699999996</v>
      </c>
      <c r="M17" t="s">
        <v>34</v>
      </c>
      <c r="N17" t="s">
        <v>111</v>
      </c>
      <c r="O17" t="s">
        <v>36</v>
      </c>
      <c r="P17" t="s">
        <v>112</v>
      </c>
      <c r="Q17" t="s">
        <v>38</v>
      </c>
      <c r="R17" t="s">
        <v>40</v>
      </c>
      <c r="S17" s="4">
        <v>46</v>
      </c>
      <c r="T17" s="3">
        <v>1760771.94</v>
      </c>
      <c r="U17" s="3">
        <v>0</v>
      </c>
      <c r="V17" s="3">
        <v>1760771.94</v>
      </c>
      <c r="W17" s="3">
        <v>1760771.94</v>
      </c>
      <c r="X17" t="s">
        <v>68</v>
      </c>
      <c r="Y17" t="s">
        <v>69</v>
      </c>
      <c r="Z17" t="s">
        <v>43</v>
      </c>
      <c r="AA17" t="s">
        <v>44</v>
      </c>
      <c r="AB17" t="s">
        <v>45</v>
      </c>
      <c r="AC17" t="s">
        <v>46</v>
      </c>
      <c r="AD17" s="5">
        <v>0</v>
      </c>
      <c r="AE17" s="5">
        <v>0</v>
      </c>
    </row>
    <row r="18" spans="1:31" x14ac:dyDescent="0.2">
      <c r="A18">
        <v>4600059806</v>
      </c>
      <c r="C18" s="2"/>
      <c r="D18" t="s">
        <v>31</v>
      </c>
      <c r="E18">
        <v>3043777</v>
      </c>
      <c r="F18" t="s">
        <v>113</v>
      </c>
      <c r="G18" t="s">
        <v>114</v>
      </c>
      <c r="H18" s="2">
        <v>45839</v>
      </c>
      <c r="I18" s="2">
        <v>46203</v>
      </c>
      <c r="J18" s="3">
        <v>1520532</v>
      </c>
      <c r="K18" s="3">
        <v>1080452.97</v>
      </c>
      <c r="L18" s="3">
        <v>440079.03</v>
      </c>
      <c r="M18" t="s">
        <v>34</v>
      </c>
      <c r="N18" t="s">
        <v>111</v>
      </c>
      <c r="O18" t="s">
        <v>36</v>
      </c>
      <c r="P18" t="s">
        <v>115</v>
      </c>
      <c r="Q18" t="s">
        <v>38</v>
      </c>
      <c r="R18" t="s">
        <v>106</v>
      </c>
      <c r="S18" s="4">
        <v>11</v>
      </c>
      <c r="T18" s="3">
        <v>1520532</v>
      </c>
      <c r="U18" s="3">
        <v>1080452.97</v>
      </c>
      <c r="V18" s="3">
        <v>440079.03</v>
      </c>
      <c r="W18" s="3">
        <v>1520532</v>
      </c>
      <c r="X18" t="s">
        <v>68</v>
      </c>
      <c r="Y18" t="s">
        <v>69</v>
      </c>
      <c r="Z18" t="s">
        <v>43</v>
      </c>
      <c r="AA18" t="s">
        <v>44</v>
      </c>
      <c r="AB18" t="s">
        <v>45</v>
      </c>
      <c r="AC18" t="s">
        <v>46</v>
      </c>
      <c r="AD18" s="5">
        <v>0</v>
      </c>
      <c r="AE18" s="5">
        <v>0</v>
      </c>
    </row>
    <row r="19" spans="1:31" x14ac:dyDescent="0.2">
      <c r="A19">
        <v>4600058620</v>
      </c>
      <c r="C19" s="2"/>
      <c r="D19" t="s">
        <v>31</v>
      </c>
      <c r="E19">
        <v>110268</v>
      </c>
      <c r="F19" t="s">
        <v>116</v>
      </c>
      <c r="G19" t="s">
        <v>117</v>
      </c>
      <c r="H19" s="2">
        <v>42186</v>
      </c>
      <c r="I19" s="2">
        <v>46630</v>
      </c>
      <c r="J19" s="3">
        <v>17160532.449999999</v>
      </c>
      <c r="K19" s="3">
        <v>7295370</v>
      </c>
      <c r="L19" s="3">
        <v>9865162.4499999993</v>
      </c>
      <c r="M19" t="s">
        <v>48</v>
      </c>
      <c r="N19" t="s">
        <v>49</v>
      </c>
      <c r="O19" t="s">
        <v>50</v>
      </c>
      <c r="P19" t="s">
        <v>91</v>
      </c>
      <c r="Q19" t="s">
        <v>38</v>
      </c>
      <c r="R19" t="s">
        <v>106</v>
      </c>
      <c r="S19" s="4">
        <v>145</v>
      </c>
      <c r="T19" s="3">
        <v>1420181.9958620688</v>
      </c>
      <c r="U19" s="3">
        <v>603754.75862068962</v>
      </c>
      <c r="V19" s="3">
        <v>816427.23724137922</v>
      </c>
      <c r="W19" s="3">
        <v>1420181.9958620688</v>
      </c>
      <c r="X19" t="s">
        <v>118</v>
      </c>
      <c r="Y19" t="s">
        <v>119</v>
      </c>
      <c r="Z19" t="s">
        <v>43</v>
      </c>
      <c r="AA19" t="s">
        <v>44</v>
      </c>
      <c r="AB19" t="s">
        <v>45</v>
      </c>
      <c r="AC19" t="s">
        <v>46</v>
      </c>
      <c r="AD19" s="5">
        <v>0</v>
      </c>
      <c r="AE19" s="5">
        <v>0</v>
      </c>
    </row>
    <row r="20" spans="1:31" x14ac:dyDescent="0.2">
      <c r="A20">
        <v>4600058726</v>
      </c>
      <c r="C20" s="2">
        <v>46030</v>
      </c>
      <c r="D20" t="s">
        <v>31</v>
      </c>
      <c r="E20">
        <v>3041519</v>
      </c>
      <c r="F20" t="s">
        <v>120</v>
      </c>
      <c r="G20" t="s">
        <v>121</v>
      </c>
      <c r="H20" s="2">
        <v>44929</v>
      </c>
      <c r="I20" s="2">
        <v>46388</v>
      </c>
      <c r="J20" s="3">
        <v>5650208.9900000002</v>
      </c>
      <c r="K20" s="3">
        <v>4985637.84</v>
      </c>
      <c r="L20" s="3">
        <v>664571.15</v>
      </c>
      <c r="M20" t="s">
        <v>58</v>
      </c>
      <c r="N20" t="s">
        <v>59</v>
      </c>
      <c r="O20" t="s">
        <v>60</v>
      </c>
      <c r="P20" t="s">
        <v>66</v>
      </c>
      <c r="Q20" t="s">
        <v>38</v>
      </c>
      <c r="R20" t="s">
        <v>40</v>
      </c>
      <c r="S20" s="4">
        <v>48</v>
      </c>
      <c r="T20" s="3">
        <v>1412552.2474999998</v>
      </c>
      <c r="U20" s="3">
        <v>1246409.46</v>
      </c>
      <c r="V20" s="3">
        <v>166142.78750000001</v>
      </c>
      <c r="W20" s="3">
        <v>1412552.2475000001</v>
      </c>
      <c r="X20" t="s">
        <v>68</v>
      </c>
      <c r="Y20" t="s">
        <v>69</v>
      </c>
      <c r="Z20" t="s">
        <v>43</v>
      </c>
      <c r="AA20" t="s">
        <v>44</v>
      </c>
      <c r="AB20" t="s">
        <v>45</v>
      </c>
      <c r="AC20" t="s">
        <v>55</v>
      </c>
      <c r="AD20" s="5">
        <v>0</v>
      </c>
      <c r="AE20" s="5">
        <v>1</v>
      </c>
    </row>
    <row r="21" spans="1:31" x14ac:dyDescent="0.2">
      <c r="A21">
        <v>4600059352</v>
      </c>
      <c r="C21" s="2">
        <v>46028</v>
      </c>
      <c r="D21" t="s">
        <v>31</v>
      </c>
      <c r="E21">
        <v>132975</v>
      </c>
      <c r="F21" t="s">
        <v>122</v>
      </c>
      <c r="G21" t="s">
        <v>123</v>
      </c>
      <c r="H21" s="2">
        <v>45474</v>
      </c>
      <c r="I21" s="2">
        <v>46203</v>
      </c>
      <c r="J21" s="3">
        <v>2615957.6800000002</v>
      </c>
      <c r="K21" s="3">
        <v>1725632.7</v>
      </c>
      <c r="L21" s="3">
        <v>890324.98</v>
      </c>
      <c r="M21" t="s">
        <v>58</v>
      </c>
      <c r="N21" t="s">
        <v>124</v>
      </c>
      <c r="O21" t="s">
        <v>60</v>
      </c>
      <c r="P21" t="s">
        <v>125</v>
      </c>
      <c r="Q21" t="s">
        <v>38</v>
      </c>
      <c r="R21" t="s">
        <v>40</v>
      </c>
      <c r="S21" s="4">
        <v>23</v>
      </c>
      <c r="T21" s="3">
        <v>1364847.4852173915</v>
      </c>
      <c r="U21" s="3">
        <v>900330.10434782598</v>
      </c>
      <c r="V21" s="3">
        <v>464517.38086956518</v>
      </c>
      <c r="W21" s="3">
        <v>1364847.485217391</v>
      </c>
      <c r="X21" t="s">
        <v>82</v>
      </c>
      <c r="Y21" t="s">
        <v>83</v>
      </c>
      <c r="Z21" t="s">
        <v>43</v>
      </c>
      <c r="AA21" t="s">
        <v>44</v>
      </c>
      <c r="AB21" t="s">
        <v>45</v>
      </c>
      <c r="AC21" t="s">
        <v>55</v>
      </c>
      <c r="AD21" s="5">
        <v>0</v>
      </c>
      <c r="AE21" s="5">
        <v>1</v>
      </c>
    </row>
    <row r="22" spans="1:31" x14ac:dyDescent="0.2">
      <c r="A22">
        <v>4600060037</v>
      </c>
      <c r="C22" s="2"/>
      <c r="D22" t="s">
        <v>31</v>
      </c>
      <c r="E22">
        <v>3047915</v>
      </c>
      <c r="F22" t="s">
        <v>126</v>
      </c>
      <c r="G22" t="s">
        <v>127</v>
      </c>
      <c r="H22" s="2">
        <v>45996</v>
      </c>
      <c r="I22" s="2">
        <v>46360</v>
      </c>
      <c r="J22" s="3">
        <v>1257092.24</v>
      </c>
      <c r="K22" s="3">
        <v>314273.06</v>
      </c>
      <c r="L22" s="3">
        <v>942819.18</v>
      </c>
      <c r="M22" t="s">
        <v>34</v>
      </c>
      <c r="N22" t="s">
        <v>128</v>
      </c>
      <c r="O22" t="s">
        <v>36</v>
      </c>
      <c r="P22" t="s">
        <v>129</v>
      </c>
      <c r="Q22" t="s">
        <v>38</v>
      </c>
      <c r="R22" t="s">
        <v>130</v>
      </c>
      <c r="S22" s="4">
        <v>12</v>
      </c>
      <c r="T22" s="3">
        <v>1257092.24</v>
      </c>
      <c r="U22" s="3">
        <v>314273.06</v>
      </c>
      <c r="V22" s="3">
        <v>942819.18</v>
      </c>
      <c r="W22" s="3">
        <v>1257092.24</v>
      </c>
      <c r="X22" t="s">
        <v>68</v>
      </c>
      <c r="Y22" t="s">
        <v>69</v>
      </c>
      <c r="Z22" t="s">
        <v>43</v>
      </c>
      <c r="AA22" t="s">
        <v>44</v>
      </c>
      <c r="AB22" t="s">
        <v>45</v>
      </c>
      <c r="AC22" t="s">
        <v>46</v>
      </c>
      <c r="AD22" s="5">
        <v>0</v>
      </c>
      <c r="AE22" s="5">
        <v>0</v>
      </c>
    </row>
    <row r="23" spans="1:31" x14ac:dyDescent="0.2">
      <c r="A23">
        <v>4600058786</v>
      </c>
      <c r="C23" s="2">
        <v>46030</v>
      </c>
      <c r="D23" t="s">
        <v>31</v>
      </c>
      <c r="E23">
        <v>3036529</v>
      </c>
      <c r="F23" t="s">
        <v>94</v>
      </c>
      <c r="G23" t="s">
        <v>131</v>
      </c>
      <c r="H23" s="2">
        <v>45860</v>
      </c>
      <c r="I23" s="2">
        <v>46224</v>
      </c>
      <c r="J23" s="3">
        <v>1214893.8700000001</v>
      </c>
      <c r="K23" s="3">
        <v>514514.98</v>
      </c>
      <c r="L23" s="3">
        <v>700378.89</v>
      </c>
      <c r="M23" t="s">
        <v>58</v>
      </c>
      <c r="N23" t="s">
        <v>59</v>
      </c>
      <c r="O23" t="s">
        <v>60</v>
      </c>
      <c r="P23" t="s">
        <v>61</v>
      </c>
      <c r="Q23" t="s">
        <v>67</v>
      </c>
      <c r="R23" t="s">
        <v>86</v>
      </c>
      <c r="S23" s="4">
        <v>12</v>
      </c>
      <c r="T23" s="3">
        <v>1214893.8700000001</v>
      </c>
      <c r="U23" s="3">
        <v>514514.98</v>
      </c>
      <c r="V23" s="3">
        <v>700378.89</v>
      </c>
      <c r="W23" s="3">
        <v>1214893.8700000001</v>
      </c>
      <c r="X23" t="s">
        <v>68</v>
      </c>
      <c r="Y23" t="s">
        <v>69</v>
      </c>
      <c r="Z23" t="s">
        <v>43</v>
      </c>
      <c r="AA23" t="s">
        <v>70</v>
      </c>
      <c r="AB23" t="s">
        <v>45</v>
      </c>
      <c r="AC23" t="s">
        <v>55</v>
      </c>
      <c r="AD23" s="5">
        <v>0</v>
      </c>
      <c r="AE23" s="5">
        <v>1</v>
      </c>
    </row>
    <row r="24" spans="1:31" x14ac:dyDescent="0.2">
      <c r="A24">
        <v>4600058676</v>
      </c>
      <c r="C24" s="2">
        <v>46031</v>
      </c>
      <c r="D24" t="s">
        <v>31</v>
      </c>
      <c r="E24">
        <v>103862</v>
      </c>
      <c r="F24" t="s">
        <v>84</v>
      </c>
      <c r="G24" t="s">
        <v>132</v>
      </c>
      <c r="H24" s="2">
        <v>44348</v>
      </c>
      <c r="I24" s="2">
        <v>46387</v>
      </c>
      <c r="J24" s="3">
        <v>6661044.5899999999</v>
      </c>
      <c r="K24" s="3">
        <v>4383795.95</v>
      </c>
      <c r="L24" s="3">
        <v>2277248.64</v>
      </c>
      <c r="M24" t="s">
        <v>58</v>
      </c>
      <c r="N24" t="s">
        <v>59</v>
      </c>
      <c r="O24" t="s">
        <v>60</v>
      </c>
      <c r="P24" t="s">
        <v>66</v>
      </c>
      <c r="Q24" t="s">
        <v>67</v>
      </c>
      <c r="R24" t="s">
        <v>133</v>
      </c>
      <c r="S24" s="4">
        <v>66</v>
      </c>
      <c r="T24" s="3">
        <v>1211099.0163636364</v>
      </c>
      <c r="U24" s="3">
        <v>797053.8090909092</v>
      </c>
      <c r="V24" s="3">
        <v>414045.20727272728</v>
      </c>
      <c r="W24" s="3">
        <v>1211099.0163636366</v>
      </c>
      <c r="X24" t="s">
        <v>87</v>
      </c>
      <c r="Y24" t="s">
        <v>88</v>
      </c>
      <c r="Z24" t="s">
        <v>43</v>
      </c>
      <c r="AA24" t="s">
        <v>70</v>
      </c>
      <c r="AB24" t="s">
        <v>45</v>
      </c>
      <c r="AC24" t="s">
        <v>55</v>
      </c>
      <c r="AD24" s="5">
        <v>0</v>
      </c>
      <c r="AE24" s="5">
        <v>1</v>
      </c>
    </row>
    <row r="25" spans="1:31" x14ac:dyDescent="0.2">
      <c r="A25">
        <v>4600058787</v>
      </c>
      <c r="C25" s="2">
        <v>46029</v>
      </c>
      <c r="D25" t="s">
        <v>31</v>
      </c>
      <c r="E25">
        <v>3036529</v>
      </c>
      <c r="F25" t="s">
        <v>94</v>
      </c>
      <c r="G25" t="s">
        <v>134</v>
      </c>
      <c r="H25" s="2">
        <v>45565</v>
      </c>
      <c r="I25" s="2">
        <v>46294</v>
      </c>
      <c r="J25" s="3">
        <v>2389184.9</v>
      </c>
      <c r="K25" s="3">
        <v>607616.56999999995</v>
      </c>
      <c r="L25" s="3">
        <v>1781568.33</v>
      </c>
      <c r="M25" t="s">
        <v>58</v>
      </c>
      <c r="N25" t="s">
        <v>59</v>
      </c>
      <c r="O25" t="s">
        <v>60</v>
      </c>
      <c r="P25" t="s">
        <v>61</v>
      </c>
      <c r="Q25" t="s">
        <v>38</v>
      </c>
      <c r="R25" t="s">
        <v>86</v>
      </c>
      <c r="S25" s="4">
        <v>24</v>
      </c>
      <c r="T25" s="3">
        <v>1194592.45</v>
      </c>
      <c r="U25" s="3">
        <v>303808.28499999997</v>
      </c>
      <c r="V25" s="3">
        <v>890784.16500000004</v>
      </c>
      <c r="W25" s="3">
        <v>1194592.45</v>
      </c>
      <c r="X25" t="s">
        <v>87</v>
      </c>
      <c r="Y25" t="s">
        <v>88</v>
      </c>
      <c r="Z25" t="s">
        <v>43</v>
      </c>
      <c r="AA25" t="s">
        <v>44</v>
      </c>
      <c r="AB25" t="s">
        <v>45</v>
      </c>
      <c r="AC25" t="s">
        <v>55</v>
      </c>
      <c r="AD25" s="5">
        <v>0</v>
      </c>
      <c r="AE25" s="5">
        <v>1</v>
      </c>
    </row>
    <row r="26" spans="1:31" x14ac:dyDescent="0.2">
      <c r="A26">
        <v>4600058743</v>
      </c>
      <c r="C26" s="2"/>
      <c r="D26" t="s">
        <v>31</v>
      </c>
      <c r="E26">
        <v>188885</v>
      </c>
      <c r="F26" t="s">
        <v>135</v>
      </c>
      <c r="G26" t="s">
        <v>136</v>
      </c>
      <c r="H26" s="2">
        <v>44987</v>
      </c>
      <c r="I26" s="2">
        <v>46447</v>
      </c>
      <c r="J26" s="3">
        <v>4247134.3600000003</v>
      </c>
      <c r="K26" s="3">
        <v>1621263.84</v>
      </c>
      <c r="L26" s="3">
        <v>2625870.52</v>
      </c>
      <c r="M26" t="s">
        <v>58</v>
      </c>
      <c r="N26" t="s">
        <v>59</v>
      </c>
      <c r="O26" t="s">
        <v>60</v>
      </c>
      <c r="P26" t="s">
        <v>66</v>
      </c>
      <c r="Q26" t="s">
        <v>67</v>
      </c>
      <c r="R26" t="s">
        <v>137</v>
      </c>
      <c r="S26" s="4">
        <v>48</v>
      </c>
      <c r="T26" s="3">
        <v>1061783.5900000001</v>
      </c>
      <c r="U26" s="3">
        <v>405315.96</v>
      </c>
      <c r="V26" s="3">
        <v>656467.63</v>
      </c>
      <c r="W26" s="3">
        <v>1061783.5900000001</v>
      </c>
      <c r="X26" t="s">
        <v>87</v>
      </c>
      <c r="Y26" t="s">
        <v>88</v>
      </c>
      <c r="Z26" t="s">
        <v>43</v>
      </c>
      <c r="AA26" t="s">
        <v>70</v>
      </c>
      <c r="AB26" t="s">
        <v>45</v>
      </c>
      <c r="AC26" t="s">
        <v>46</v>
      </c>
      <c r="AD26" s="5">
        <v>0</v>
      </c>
      <c r="AE26" s="5">
        <v>0</v>
      </c>
    </row>
    <row r="27" spans="1:31" x14ac:dyDescent="0.2">
      <c r="A27">
        <v>4600059330</v>
      </c>
      <c r="B27">
        <v>69879549</v>
      </c>
      <c r="C27" s="2"/>
      <c r="D27" t="s">
        <v>31</v>
      </c>
      <c r="E27">
        <v>102272</v>
      </c>
      <c r="F27" t="s">
        <v>138</v>
      </c>
      <c r="G27" t="s">
        <v>139</v>
      </c>
      <c r="H27" s="2">
        <v>45627</v>
      </c>
      <c r="I27" s="2">
        <v>46112</v>
      </c>
      <c r="J27" s="3">
        <v>1291303.78</v>
      </c>
      <c r="K27" s="3">
        <v>914228.38</v>
      </c>
      <c r="L27" s="3">
        <v>377075.4</v>
      </c>
      <c r="M27" t="s">
        <v>58</v>
      </c>
      <c r="N27" t="s">
        <v>59</v>
      </c>
      <c r="O27" t="s">
        <v>60</v>
      </c>
      <c r="P27" t="s">
        <v>66</v>
      </c>
      <c r="Q27" t="s">
        <v>38</v>
      </c>
      <c r="R27" t="s">
        <v>86</v>
      </c>
      <c r="S27" s="4">
        <v>15</v>
      </c>
      <c r="T27" s="3">
        <v>1033043.024</v>
      </c>
      <c r="U27" s="3">
        <v>731382.70400000003</v>
      </c>
      <c r="V27" s="3">
        <v>301660.32000000007</v>
      </c>
      <c r="W27" s="3">
        <v>1033043.0240000001</v>
      </c>
      <c r="X27" t="s">
        <v>87</v>
      </c>
      <c r="Y27" t="s">
        <v>88</v>
      </c>
      <c r="Z27" t="s">
        <v>43</v>
      </c>
      <c r="AA27" t="s">
        <v>44</v>
      </c>
      <c r="AB27" t="s">
        <v>45</v>
      </c>
      <c r="AC27" t="s">
        <v>46</v>
      </c>
      <c r="AD27" s="5">
        <v>0</v>
      </c>
      <c r="AE27" s="5">
        <v>0</v>
      </c>
    </row>
    <row r="28" spans="1:31" x14ac:dyDescent="0.2">
      <c r="A28">
        <v>4600058765</v>
      </c>
      <c r="C28" s="2"/>
      <c r="D28" t="s">
        <v>31</v>
      </c>
      <c r="E28">
        <v>1013176</v>
      </c>
      <c r="F28" t="s">
        <v>140</v>
      </c>
      <c r="G28" t="s">
        <v>141</v>
      </c>
      <c r="H28" s="2">
        <v>45627</v>
      </c>
      <c r="I28" s="2">
        <v>46609</v>
      </c>
      <c r="J28" s="3">
        <v>2672555.52</v>
      </c>
      <c r="K28" s="3">
        <v>1212276.46</v>
      </c>
      <c r="L28" s="3">
        <v>1460279.06</v>
      </c>
      <c r="M28" t="s">
        <v>34</v>
      </c>
      <c r="N28" t="s">
        <v>111</v>
      </c>
      <c r="O28" t="s">
        <v>36</v>
      </c>
      <c r="P28" t="s">
        <v>142</v>
      </c>
      <c r="Q28" t="s">
        <v>38</v>
      </c>
      <c r="R28" t="s">
        <v>130</v>
      </c>
      <c r="S28" s="4">
        <v>32</v>
      </c>
      <c r="T28" s="3">
        <v>1002208.3200000001</v>
      </c>
      <c r="U28" s="3">
        <v>454603.67249999999</v>
      </c>
      <c r="V28" s="3">
        <v>547604.64749999996</v>
      </c>
      <c r="W28" s="3">
        <v>1002208.32</v>
      </c>
      <c r="X28" t="s">
        <v>87</v>
      </c>
      <c r="Y28" t="s">
        <v>88</v>
      </c>
      <c r="Z28" t="s">
        <v>43</v>
      </c>
      <c r="AA28" t="s">
        <v>44</v>
      </c>
      <c r="AB28" t="s">
        <v>45</v>
      </c>
      <c r="AC28" t="s">
        <v>46</v>
      </c>
      <c r="AD28" s="5">
        <v>0</v>
      </c>
      <c r="AE28" s="5">
        <v>0</v>
      </c>
    </row>
    <row r="29" spans="1:31" x14ac:dyDescent="0.2">
      <c r="A29">
        <v>4600059993</v>
      </c>
      <c r="C29" s="2">
        <v>46037</v>
      </c>
      <c r="D29" t="s">
        <v>31</v>
      </c>
      <c r="E29">
        <v>3028510</v>
      </c>
      <c r="F29" t="s">
        <v>143</v>
      </c>
      <c r="G29" t="s">
        <v>144</v>
      </c>
      <c r="H29" s="2">
        <v>45839</v>
      </c>
      <c r="I29" s="2">
        <v>46203</v>
      </c>
      <c r="J29" s="3">
        <v>947969.46</v>
      </c>
      <c r="K29" s="3">
        <v>400502</v>
      </c>
      <c r="L29" s="3">
        <v>547467.46</v>
      </c>
      <c r="M29" t="s">
        <v>58</v>
      </c>
      <c r="N29" t="s">
        <v>145</v>
      </c>
      <c r="O29" t="s">
        <v>60</v>
      </c>
      <c r="P29" t="s">
        <v>146</v>
      </c>
      <c r="Q29" t="s">
        <v>38</v>
      </c>
      <c r="R29" t="s">
        <v>147</v>
      </c>
      <c r="S29" s="4">
        <v>11</v>
      </c>
      <c r="T29" s="3">
        <v>947969.46</v>
      </c>
      <c r="U29" s="3">
        <v>400502</v>
      </c>
      <c r="V29" s="3">
        <v>547467.46</v>
      </c>
      <c r="W29" s="3">
        <v>947969.46</v>
      </c>
      <c r="X29" t="s">
        <v>87</v>
      </c>
      <c r="Y29" t="s">
        <v>88</v>
      </c>
      <c r="Z29" t="s">
        <v>31</v>
      </c>
      <c r="AA29" t="s">
        <v>44</v>
      </c>
      <c r="AB29" t="s">
        <v>45</v>
      </c>
      <c r="AC29" t="s">
        <v>55</v>
      </c>
      <c r="AD29" s="5">
        <v>0</v>
      </c>
      <c r="AE29" s="5">
        <v>1</v>
      </c>
    </row>
    <row r="30" spans="1:31" x14ac:dyDescent="0.2">
      <c r="A30">
        <v>4600058760</v>
      </c>
      <c r="C30" s="2"/>
      <c r="D30" t="s">
        <v>31</v>
      </c>
      <c r="E30">
        <v>169912</v>
      </c>
      <c r="F30" t="s">
        <v>79</v>
      </c>
      <c r="G30" t="s">
        <v>148</v>
      </c>
      <c r="H30" s="2">
        <v>45047</v>
      </c>
      <c r="I30" s="2">
        <v>46142</v>
      </c>
      <c r="J30" s="3">
        <v>2738590.22</v>
      </c>
      <c r="K30" s="3">
        <v>2738590.21</v>
      </c>
      <c r="L30" s="3">
        <v>0.01</v>
      </c>
      <c r="M30" t="s">
        <v>58</v>
      </c>
      <c r="N30" t="s">
        <v>124</v>
      </c>
      <c r="O30" t="s">
        <v>60</v>
      </c>
      <c r="P30" t="s">
        <v>149</v>
      </c>
      <c r="Q30" t="s">
        <v>38</v>
      </c>
      <c r="R30" t="s">
        <v>40</v>
      </c>
      <c r="S30" s="4">
        <v>35</v>
      </c>
      <c r="T30" s="3">
        <v>938945.21828571428</v>
      </c>
      <c r="U30" s="3">
        <v>938945.21485714288</v>
      </c>
      <c r="V30" s="3">
        <v>3.4285714285714284E-3</v>
      </c>
      <c r="W30" s="3">
        <v>938945.21828571428</v>
      </c>
      <c r="X30" t="s">
        <v>98</v>
      </c>
      <c r="Y30" t="s">
        <v>99</v>
      </c>
      <c r="Z30" t="s">
        <v>43</v>
      </c>
      <c r="AA30" t="s">
        <v>44</v>
      </c>
      <c r="AB30" t="s">
        <v>45</v>
      </c>
      <c r="AC30" t="s">
        <v>46</v>
      </c>
      <c r="AD30" s="5">
        <v>0</v>
      </c>
      <c r="AE30" s="5">
        <v>0</v>
      </c>
    </row>
    <row r="31" spans="1:31" x14ac:dyDescent="0.2">
      <c r="A31">
        <v>4600059995</v>
      </c>
      <c r="C31" s="2"/>
      <c r="D31" t="s">
        <v>31</v>
      </c>
      <c r="E31">
        <v>3028510</v>
      </c>
      <c r="F31" t="s">
        <v>143</v>
      </c>
      <c r="G31" t="s">
        <v>150</v>
      </c>
      <c r="H31" s="2">
        <v>45839</v>
      </c>
      <c r="I31" s="2">
        <v>46203</v>
      </c>
      <c r="J31" s="3">
        <v>937931.3</v>
      </c>
      <c r="K31" s="3">
        <v>47915</v>
      </c>
      <c r="L31" s="3">
        <v>890016.3</v>
      </c>
      <c r="M31" t="s">
        <v>58</v>
      </c>
      <c r="N31" t="s">
        <v>151</v>
      </c>
      <c r="O31" t="s">
        <v>60</v>
      </c>
      <c r="P31" t="s">
        <v>146</v>
      </c>
      <c r="Q31" t="s">
        <v>38</v>
      </c>
      <c r="R31" t="s">
        <v>147</v>
      </c>
      <c r="S31" s="4">
        <v>11</v>
      </c>
      <c r="T31" s="3">
        <v>937931.3</v>
      </c>
      <c r="U31" s="3">
        <v>47915</v>
      </c>
      <c r="V31" s="3">
        <v>890016.3</v>
      </c>
      <c r="W31" s="3">
        <v>937931.3</v>
      </c>
      <c r="X31" t="s">
        <v>87</v>
      </c>
      <c r="Y31" t="s">
        <v>88</v>
      </c>
      <c r="Z31" t="s">
        <v>31</v>
      </c>
      <c r="AA31" t="s">
        <v>44</v>
      </c>
      <c r="AB31" t="s">
        <v>45</v>
      </c>
      <c r="AC31" t="s">
        <v>46</v>
      </c>
      <c r="AD31" s="5">
        <v>0</v>
      </c>
      <c r="AE31" s="5">
        <v>0</v>
      </c>
    </row>
    <row r="32" spans="1:31" x14ac:dyDescent="0.2">
      <c r="A32">
        <v>4600058770</v>
      </c>
      <c r="C32" s="2"/>
      <c r="D32" t="s">
        <v>31</v>
      </c>
      <c r="E32">
        <v>169912</v>
      </c>
      <c r="F32" t="s">
        <v>79</v>
      </c>
      <c r="G32" t="s">
        <v>152</v>
      </c>
      <c r="H32" s="2">
        <v>45197</v>
      </c>
      <c r="I32" s="2">
        <v>46292</v>
      </c>
      <c r="J32" s="3">
        <v>2305841.63</v>
      </c>
      <c r="K32" s="3">
        <v>2283134.16</v>
      </c>
      <c r="L32" s="3">
        <v>22707.47</v>
      </c>
      <c r="M32" t="s">
        <v>34</v>
      </c>
      <c r="N32" t="s">
        <v>128</v>
      </c>
      <c r="O32" t="s">
        <v>36</v>
      </c>
      <c r="P32" t="s">
        <v>153</v>
      </c>
      <c r="Q32" t="s">
        <v>67</v>
      </c>
      <c r="R32" t="s">
        <v>40</v>
      </c>
      <c r="S32" s="4">
        <v>36</v>
      </c>
      <c r="T32" s="3">
        <v>768613.87666666659</v>
      </c>
      <c r="U32" s="3">
        <v>761044.72000000009</v>
      </c>
      <c r="V32" s="3">
        <v>7569.1566666666668</v>
      </c>
      <c r="W32" s="3">
        <v>768613.87666666671</v>
      </c>
      <c r="X32" t="s">
        <v>82</v>
      </c>
      <c r="Y32" t="s">
        <v>83</v>
      </c>
      <c r="Z32" t="s">
        <v>43</v>
      </c>
      <c r="AA32" t="s">
        <v>70</v>
      </c>
      <c r="AB32" t="s">
        <v>45</v>
      </c>
      <c r="AC32" t="s">
        <v>46</v>
      </c>
      <c r="AD32" s="5">
        <v>0</v>
      </c>
      <c r="AE32" s="5">
        <v>0</v>
      </c>
    </row>
    <row r="33" spans="1:31" x14ac:dyDescent="0.2">
      <c r="A33">
        <v>4600059156</v>
      </c>
      <c r="C33" s="2"/>
      <c r="D33" t="s">
        <v>31</v>
      </c>
      <c r="E33">
        <v>3043280</v>
      </c>
      <c r="F33" t="s">
        <v>64</v>
      </c>
      <c r="G33" t="s">
        <v>65</v>
      </c>
      <c r="H33" s="2">
        <v>45664</v>
      </c>
      <c r="I33" s="2">
        <v>46053</v>
      </c>
      <c r="J33" s="3">
        <v>762125.72225999995</v>
      </c>
      <c r="K33" s="3">
        <v>737994.59467499994</v>
      </c>
      <c r="L33" s="3">
        <v>24131.127584999998</v>
      </c>
      <c r="M33" t="s">
        <v>58</v>
      </c>
      <c r="N33" t="s">
        <v>59</v>
      </c>
      <c r="O33" t="s">
        <v>60</v>
      </c>
      <c r="P33" t="s">
        <v>66</v>
      </c>
      <c r="Q33" t="s">
        <v>38</v>
      </c>
      <c r="R33" t="s">
        <v>40</v>
      </c>
      <c r="S33" s="4">
        <v>12</v>
      </c>
      <c r="T33" s="3">
        <v>762125.72225999995</v>
      </c>
      <c r="U33" s="3">
        <v>737994.59467499994</v>
      </c>
      <c r="V33" s="3">
        <v>24131.127584999998</v>
      </c>
      <c r="W33" s="3">
        <v>762125.72225999995</v>
      </c>
      <c r="X33" t="s">
        <v>68</v>
      </c>
      <c r="Y33" t="s">
        <v>69</v>
      </c>
      <c r="Z33" t="s">
        <v>43</v>
      </c>
      <c r="AA33" t="s">
        <v>44</v>
      </c>
      <c r="AB33" t="s">
        <v>154</v>
      </c>
      <c r="AC33" t="s">
        <v>46</v>
      </c>
      <c r="AD33" s="5">
        <v>0</v>
      </c>
      <c r="AE33" s="5">
        <v>0</v>
      </c>
    </row>
    <row r="34" spans="1:31" x14ac:dyDescent="0.2">
      <c r="A34">
        <v>4600058740</v>
      </c>
      <c r="C34" s="2"/>
      <c r="D34" t="s">
        <v>31</v>
      </c>
      <c r="E34">
        <v>184024</v>
      </c>
      <c r="F34" t="s">
        <v>155</v>
      </c>
      <c r="G34" t="s">
        <v>156</v>
      </c>
      <c r="H34" s="2">
        <v>44958</v>
      </c>
      <c r="I34" s="2">
        <v>46053</v>
      </c>
      <c r="J34" s="3">
        <v>2069370.38</v>
      </c>
      <c r="K34" s="3">
        <v>786878.7</v>
      </c>
      <c r="L34" s="3">
        <v>1282491.68</v>
      </c>
      <c r="M34" t="s">
        <v>58</v>
      </c>
      <c r="N34" t="s">
        <v>59</v>
      </c>
      <c r="O34" t="s">
        <v>60</v>
      </c>
      <c r="P34" t="s">
        <v>66</v>
      </c>
      <c r="Q34" t="s">
        <v>67</v>
      </c>
      <c r="S34" s="4">
        <v>35</v>
      </c>
      <c r="T34" s="3">
        <v>709498.41599999997</v>
      </c>
      <c r="U34" s="3">
        <v>269786.98285714281</v>
      </c>
      <c r="V34" s="3">
        <v>439711.43314285716</v>
      </c>
      <c r="W34" s="3">
        <v>709498.41599999997</v>
      </c>
      <c r="X34" t="s">
        <v>82</v>
      </c>
      <c r="Y34" t="s">
        <v>83</v>
      </c>
      <c r="Z34" t="s">
        <v>43</v>
      </c>
      <c r="AA34" t="s">
        <v>70</v>
      </c>
      <c r="AB34" t="s">
        <v>45</v>
      </c>
      <c r="AC34" t="s">
        <v>46</v>
      </c>
      <c r="AD34" s="5">
        <v>0</v>
      </c>
      <c r="AE34" s="5">
        <v>0</v>
      </c>
    </row>
    <row r="35" spans="1:31" x14ac:dyDescent="0.2">
      <c r="A35">
        <v>4600058710</v>
      </c>
      <c r="C35" s="2"/>
      <c r="D35" t="s">
        <v>31</v>
      </c>
      <c r="E35">
        <v>3040726</v>
      </c>
      <c r="F35" t="s">
        <v>157</v>
      </c>
      <c r="G35" t="s">
        <v>158</v>
      </c>
      <c r="H35" s="2">
        <v>44552</v>
      </c>
      <c r="I35" s="2">
        <v>46203</v>
      </c>
      <c r="J35" s="3">
        <v>2818850.14</v>
      </c>
      <c r="K35" s="3">
        <v>1911714.76</v>
      </c>
      <c r="L35" s="3">
        <v>907135.38</v>
      </c>
      <c r="M35" t="s">
        <v>34</v>
      </c>
      <c r="N35" t="s">
        <v>128</v>
      </c>
      <c r="O35" t="s">
        <v>36</v>
      </c>
      <c r="P35" t="s">
        <v>129</v>
      </c>
      <c r="Q35" t="s">
        <v>38</v>
      </c>
      <c r="R35" t="s">
        <v>130</v>
      </c>
      <c r="S35" s="4">
        <v>54</v>
      </c>
      <c r="T35" s="3">
        <v>626411.14222222217</v>
      </c>
      <c r="U35" s="3">
        <v>424825.50222222222</v>
      </c>
      <c r="V35" s="3">
        <v>201585.64</v>
      </c>
      <c r="W35" s="3">
        <v>626411.14222222217</v>
      </c>
      <c r="X35" t="s">
        <v>87</v>
      </c>
      <c r="Y35" t="s">
        <v>88</v>
      </c>
      <c r="Z35" t="s">
        <v>43</v>
      </c>
      <c r="AA35" t="s">
        <v>44</v>
      </c>
      <c r="AB35" t="s">
        <v>45</v>
      </c>
      <c r="AC35" t="s">
        <v>46</v>
      </c>
      <c r="AD35" s="5">
        <v>0</v>
      </c>
      <c r="AE35" s="5">
        <v>0</v>
      </c>
    </row>
    <row r="36" spans="1:31" x14ac:dyDescent="0.2">
      <c r="A36">
        <v>4600059820</v>
      </c>
      <c r="C36" s="2"/>
      <c r="D36" t="s">
        <v>31</v>
      </c>
      <c r="E36">
        <v>3047720</v>
      </c>
      <c r="F36" t="s">
        <v>159</v>
      </c>
      <c r="G36" t="s">
        <v>160</v>
      </c>
      <c r="H36" s="2">
        <v>45842</v>
      </c>
      <c r="I36" s="2">
        <v>46937</v>
      </c>
      <c r="J36" s="3">
        <v>1797405.12</v>
      </c>
      <c r="K36" s="3">
        <v>637103.04</v>
      </c>
      <c r="L36" s="3">
        <v>1160302.0800000001</v>
      </c>
      <c r="M36" t="s">
        <v>34</v>
      </c>
      <c r="N36" t="s">
        <v>128</v>
      </c>
      <c r="O36" t="s">
        <v>36</v>
      </c>
      <c r="P36" t="s">
        <v>129</v>
      </c>
      <c r="Q36" t="s">
        <v>38</v>
      </c>
      <c r="R36" t="s">
        <v>40</v>
      </c>
      <c r="S36" s="4">
        <v>36</v>
      </c>
      <c r="T36" s="3">
        <v>599135.04</v>
      </c>
      <c r="U36" s="3">
        <v>212367.68000000002</v>
      </c>
      <c r="V36" s="3">
        <v>386767.36000000004</v>
      </c>
      <c r="W36" s="3">
        <v>599135.04</v>
      </c>
      <c r="X36" t="s">
        <v>68</v>
      </c>
      <c r="Y36" t="s">
        <v>69</v>
      </c>
      <c r="Z36" t="s">
        <v>43</v>
      </c>
      <c r="AA36" t="s">
        <v>44</v>
      </c>
      <c r="AB36" t="s">
        <v>45</v>
      </c>
      <c r="AC36" t="s">
        <v>46</v>
      </c>
      <c r="AD36" s="5">
        <v>0</v>
      </c>
      <c r="AE36" s="5">
        <v>0</v>
      </c>
    </row>
    <row r="37" spans="1:31" x14ac:dyDescent="0.2">
      <c r="A37">
        <v>4600058683</v>
      </c>
      <c r="B37">
        <v>69425874</v>
      </c>
      <c r="C37" s="2">
        <v>46028</v>
      </c>
      <c r="D37" t="s">
        <v>31</v>
      </c>
      <c r="E37">
        <v>3008204</v>
      </c>
      <c r="F37" t="s">
        <v>161</v>
      </c>
      <c r="G37" t="s">
        <v>162</v>
      </c>
      <c r="H37" s="2">
        <v>44373</v>
      </c>
      <c r="I37" s="2">
        <v>46198</v>
      </c>
      <c r="J37" s="3">
        <v>2840278.94</v>
      </c>
      <c r="K37" s="3">
        <v>1389833.65</v>
      </c>
      <c r="L37" s="3">
        <v>1450445.29</v>
      </c>
      <c r="M37" t="s">
        <v>34</v>
      </c>
      <c r="N37" t="s">
        <v>35</v>
      </c>
      <c r="O37" t="s">
        <v>36</v>
      </c>
      <c r="P37" t="s">
        <v>37</v>
      </c>
      <c r="Q37" t="s">
        <v>38</v>
      </c>
      <c r="R37" t="s">
        <v>147</v>
      </c>
      <c r="S37" s="4">
        <v>60</v>
      </c>
      <c r="T37" s="3">
        <v>568055.78800000006</v>
      </c>
      <c r="U37" s="3">
        <v>277966.73</v>
      </c>
      <c r="V37" s="3">
        <v>290089.05800000002</v>
      </c>
      <c r="W37" s="3">
        <v>568055.78799999994</v>
      </c>
      <c r="X37" t="s">
        <v>87</v>
      </c>
      <c r="Y37" t="s">
        <v>88</v>
      </c>
      <c r="Z37" t="s">
        <v>43</v>
      </c>
      <c r="AA37" t="s">
        <v>44</v>
      </c>
      <c r="AB37" t="s">
        <v>45</v>
      </c>
      <c r="AC37" t="s">
        <v>55</v>
      </c>
      <c r="AD37" s="5">
        <v>0</v>
      </c>
      <c r="AE37" s="5">
        <v>1</v>
      </c>
    </row>
    <row r="38" spans="1:31" x14ac:dyDescent="0.2">
      <c r="A38">
        <v>4600058766</v>
      </c>
      <c r="C38" s="2">
        <v>46028</v>
      </c>
      <c r="D38" t="s">
        <v>31</v>
      </c>
      <c r="E38">
        <v>3008204</v>
      </c>
      <c r="F38" t="s">
        <v>161</v>
      </c>
      <c r="G38" t="s">
        <v>163</v>
      </c>
      <c r="H38" s="2">
        <v>45105</v>
      </c>
      <c r="I38" s="2">
        <v>46200</v>
      </c>
      <c r="J38" s="3">
        <v>1692579.66</v>
      </c>
      <c r="K38" s="3">
        <v>1158080.82</v>
      </c>
      <c r="L38" s="3">
        <v>534498.84</v>
      </c>
      <c r="M38" t="s">
        <v>34</v>
      </c>
      <c r="N38" t="s">
        <v>111</v>
      </c>
      <c r="O38" t="s">
        <v>36</v>
      </c>
      <c r="P38" t="s">
        <v>164</v>
      </c>
      <c r="Q38" t="s">
        <v>38</v>
      </c>
      <c r="R38" t="s">
        <v>147</v>
      </c>
      <c r="S38" s="4">
        <v>36</v>
      </c>
      <c r="T38" s="3">
        <v>564193.22</v>
      </c>
      <c r="U38" s="3">
        <v>386026.94</v>
      </c>
      <c r="V38" s="3">
        <v>178166.28</v>
      </c>
      <c r="W38" s="3">
        <v>564193.22</v>
      </c>
      <c r="X38" t="s">
        <v>82</v>
      </c>
      <c r="Y38" t="s">
        <v>83</v>
      </c>
      <c r="Z38" t="s">
        <v>43</v>
      </c>
      <c r="AA38" t="s">
        <v>44</v>
      </c>
      <c r="AB38" t="s">
        <v>45</v>
      </c>
      <c r="AC38" t="s">
        <v>55</v>
      </c>
      <c r="AD38" s="5">
        <v>0</v>
      </c>
      <c r="AE38" s="5">
        <v>1</v>
      </c>
    </row>
    <row r="39" spans="1:31" x14ac:dyDescent="0.2">
      <c r="A39">
        <v>4600058724</v>
      </c>
      <c r="B39">
        <v>66051145</v>
      </c>
      <c r="C39" s="2"/>
      <c r="D39" t="s">
        <v>31</v>
      </c>
      <c r="E39">
        <v>129169</v>
      </c>
      <c r="F39" t="s">
        <v>165</v>
      </c>
      <c r="G39" t="s">
        <v>166</v>
      </c>
      <c r="H39" s="2">
        <v>44593</v>
      </c>
      <c r="I39" s="2">
        <v>46053</v>
      </c>
      <c r="J39" s="3">
        <v>2079717.36</v>
      </c>
      <c r="K39" s="3">
        <v>2079717.36</v>
      </c>
      <c r="L39" s="3">
        <v>0</v>
      </c>
      <c r="M39" t="s">
        <v>58</v>
      </c>
      <c r="N39" t="s">
        <v>59</v>
      </c>
      <c r="O39" t="s">
        <v>60</v>
      </c>
      <c r="P39" t="s">
        <v>66</v>
      </c>
      <c r="Q39" t="s">
        <v>38</v>
      </c>
      <c r="S39" s="4">
        <v>47</v>
      </c>
      <c r="T39" s="3">
        <v>530991.66638297879</v>
      </c>
      <c r="U39" s="3">
        <v>530991.66638297879</v>
      </c>
      <c r="V39" s="3">
        <v>0</v>
      </c>
      <c r="W39" s="3">
        <v>530991.66638297879</v>
      </c>
      <c r="X39" t="s">
        <v>87</v>
      </c>
      <c r="Y39" t="s">
        <v>88</v>
      </c>
      <c r="Z39" t="s">
        <v>43</v>
      </c>
      <c r="AA39" t="s">
        <v>44</v>
      </c>
      <c r="AB39" t="s">
        <v>45</v>
      </c>
      <c r="AC39" t="s">
        <v>46</v>
      </c>
      <c r="AD39" s="5">
        <v>0</v>
      </c>
      <c r="AE39" s="5">
        <v>0</v>
      </c>
    </row>
    <row r="40" spans="1:31" x14ac:dyDescent="0.2">
      <c r="A40">
        <v>4600058751</v>
      </c>
      <c r="C40" s="2">
        <v>46029</v>
      </c>
      <c r="D40" t="s">
        <v>31</v>
      </c>
      <c r="E40">
        <v>167547</v>
      </c>
      <c r="F40" t="s">
        <v>167</v>
      </c>
      <c r="G40" t="s">
        <v>168</v>
      </c>
      <c r="H40" s="2">
        <v>45064</v>
      </c>
      <c r="I40" s="2">
        <v>46223</v>
      </c>
      <c r="J40" s="3">
        <v>1636443.37</v>
      </c>
      <c r="K40" s="3">
        <v>504756.09</v>
      </c>
      <c r="L40" s="3">
        <v>1131687.28</v>
      </c>
      <c r="M40" t="s">
        <v>58</v>
      </c>
      <c r="N40" t="s">
        <v>59</v>
      </c>
      <c r="O40" t="s">
        <v>60</v>
      </c>
      <c r="P40" t="s">
        <v>61</v>
      </c>
      <c r="Q40" t="s">
        <v>38</v>
      </c>
      <c r="R40" t="s">
        <v>86</v>
      </c>
      <c r="S40" s="4">
        <v>38</v>
      </c>
      <c r="T40" s="3">
        <v>516771.59052631585</v>
      </c>
      <c r="U40" s="3">
        <v>159396.66</v>
      </c>
      <c r="V40" s="3">
        <v>357374.93052631576</v>
      </c>
      <c r="W40" s="3">
        <v>516771.59052631573</v>
      </c>
      <c r="X40" t="s">
        <v>87</v>
      </c>
      <c r="Y40" t="s">
        <v>88</v>
      </c>
      <c r="Z40" t="s">
        <v>43</v>
      </c>
      <c r="AA40" t="s">
        <v>44</v>
      </c>
      <c r="AB40" t="s">
        <v>45</v>
      </c>
      <c r="AC40" t="s">
        <v>55</v>
      </c>
      <c r="AD40" s="5">
        <v>0</v>
      </c>
      <c r="AE40" s="5">
        <v>1</v>
      </c>
    </row>
    <row r="41" spans="1:31" x14ac:dyDescent="0.2">
      <c r="A41">
        <v>4600058618</v>
      </c>
      <c r="C41" s="2"/>
      <c r="D41" t="s">
        <v>31</v>
      </c>
      <c r="E41">
        <v>104072</v>
      </c>
      <c r="F41" t="s">
        <v>169</v>
      </c>
      <c r="G41" t="s">
        <v>170</v>
      </c>
      <c r="H41" s="2">
        <v>42194</v>
      </c>
      <c r="I41" s="2">
        <v>46142</v>
      </c>
      <c r="J41" s="3">
        <v>5155211.7699999996</v>
      </c>
      <c r="K41" s="3">
        <v>2956896</v>
      </c>
      <c r="L41" s="3">
        <v>2198315.77</v>
      </c>
      <c r="M41" t="s">
        <v>34</v>
      </c>
      <c r="N41" t="s">
        <v>111</v>
      </c>
      <c r="O41" t="s">
        <v>36</v>
      </c>
      <c r="P41" t="s">
        <v>171</v>
      </c>
      <c r="Q41" t="s">
        <v>67</v>
      </c>
      <c r="R41" t="s">
        <v>172</v>
      </c>
      <c r="S41" s="4">
        <v>129</v>
      </c>
      <c r="T41" s="3">
        <v>479554.58325581392</v>
      </c>
      <c r="U41" s="3">
        <v>275060.09302325582</v>
      </c>
      <c r="V41" s="3">
        <v>204494.49023255816</v>
      </c>
      <c r="W41" s="3">
        <v>479554.58325581398</v>
      </c>
      <c r="X41" t="s">
        <v>87</v>
      </c>
      <c r="Y41" t="s">
        <v>88</v>
      </c>
      <c r="Z41" t="s">
        <v>43</v>
      </c>
      <c r="AA41" t="s">
        <v>70</v>
      </c>
      <c r="AB41" t="s">
        <v>45</v>
      </c>
      <c r="AC41" t="s">
        <v>46</v>
      </c>
      <c r="AD41" s="5">
        <v>0</v>
      </c>
      <c r="AE41" s="5">
        <v>0</v>
      </c>
    </row>
    <row r="42" spans="1:31" x14ac:dyDescent="0.2">
      <c r="A42">
        <v>4600058613</v>
      </c>
      <c r="B42">
        <v>69033160</v>
      </c>
      <c r="C42" s="2"/>
      <c r="D42" t="s">
        <v>31</v>
      </c>
      <c r="E42">
        <v>135365</v>
      </c>
      <c r="F42" t="s">
        <v>173</v>
      </c>
      <c r="G42" t="s">
        <v>174</v>
      </c>
      <c r="H42" s="2">
        <v>42036</v>
      </c>
      <c r="I42" s="2">
        <v>46053</v>
      </c>
      <c r="J42" s="3">
        <v>5095537.45</v>
      </c>
      <c r="K42" s="3">
        <v>0</v>
      </c>
      <c r="L42" s="3">
        <v>5095537.45</v>
      </c>
      <c r="M42" t="s">
        <v>58</v>
      </c>
      <c r="N42" t="s">
        <v>59</v>
      </c>
      <c r="O42" t="s">
        <v>60</v>
      </c>
      <c r="P42" t="s">
        <v>66</v>
      </c>
      <c r="Q42" t="s">
        <v>67</v>
      </c>
      <c r="S42" s="4">
        <v>131</v>
      </c>
      <c r="T42" s="3">
        <v>466766.78931297717</v>
      </c>
      <c r="U42" s="3">
        <v>0</v>
      </c>
      <c r="V42" s="3">
        <v>466766.78931297717</v>
      </c>
      <c r="W42" s="3">
        <v>466766.78931297717</v>
      </c>
      <c r="X42" t="s">
        <v>87</v>
      </c>
      <c r="Y42" t="s">
        <v>88</v>
      </c>
      <c r="Z42" t="s">
        <v>43</v>
      </c>
      <c r="AA42" t="s">
        <v>70</v>
      </c>
      <c r="AB42" t="s">
        <v>45</v>
      </c>
      <c r="AC42" t="s">
        <v>46</v>
      </c>
      <c r="AD42" s="5">
        <v>0</v>
      </c>
      <c r="AE42" s="5">
        <v>0</v>
      </c>
    </row>
    <row r="43" spans="1:31" x14ac:dyDescent="0.2">
      <c r="A43">
        <v>4600058700</v>
      </c>
      <c r="C43" s="2"/>
      <c r="D43" t="s">
        <v>31</v>
      </c>
      <c r="E43">
        <v>3040172</v>
      </c>
      <c r="F43" t="s">
        <v>175</v>
      </c>
      <c r="G43" t="s">
        <v>176</v>
      </c>
      <c r="H43" s="2">
        <v>44488</v>
      </c>
      <c r="I43" s="2">
        <v>46221</v>
      </c>
      <c r="J43" s="3">
        <v>1863207.7</v>
      </c>
      <c r="K43" s="3">
        <v>409429.75</v>
      </c>
      <c r="L43" s="3">
        <v>1453777.95</v>
      </c>
      <c r="M43" t="s">
        <v>58</v>
      </c>
      <c r="N43" t="s">
        <v>151</v>
      </c>
      <c r="O43" t="s">
        <v>60</v>
      </c>
      <c r="P43" t="s">
        <v>177</v>
      </c>
      <c r="Q43" t="s">
        <v>38</v>
      </c>
      <c r="R43" t="s">
        <v>40</v>
      </c>
      <c r="S43" s="4">
        <v>57</v>
      </c>
      <c r="T43" s="3">
        <v>392254.25263157894</v>
      </c>
      <c r="U43" s="3">
        <v>86195.736842105267</v>
      </c>
      <c r="V43" s="3">
        <v>306058.51578947366</v>
      </c>
      <c r="W43" s="3">
        <v>392254.25263157894</v>
      </c>
      <c r="X43" t="s">
        <v>68</v>
      </c>
      <c r="Y43" t="s">
        <v>69</v>
      </c>
      <c r="Z43" t="s">
        <v>43</v>
      </c>
      <c r="AA43" t="s">
        <v>44</v>
      </c>
      <c r="AB43" t="s">
        <v>45</v>
      </c>
      <c r="AC43" t="s">
        <v>46</v>
      </c>
      <c r="AD43" s="5">
        <v>0</v>
      </c>
      <c r="AE43" s="5">
        <v>0</v>
      </c>
    </row>
    <row r="44" spans="1:31" x14ac:dyDescent="0.2">
      <c r="A44">
        <v>4600058617</v>
      </c>
      <c r="C44" s="2"/>
      <c r="D44" t="s">
        <v>31</v>
      </c>
      <c r="E44">
        <v>102603</v>
      </c>
      <c r="F44" t="s">
        <v>178</v>
      </c>
      <c r="G44" t="s">
        <v>179</v>
      </c>
      <c r="H44" s="2">
        <v>45117</v>
      </c>
      <c r="I44" s="2">
        <v>46212</v>
      </c>
      <c r="J44" s="3">
        <v>1166390.6499999999</v>
      </c>
      <c r="K44" s="3">
        <v>125484.14</v>
      </c>
      <c r="L44" s="3">
        <v>1040906.51</v>
      </c>
      <c r="M44" t="s">
        <v>58</v>
      </c>
      <c r="N44" t="s">
        <v>59</v>
      </c>
      <c r="O44" t="s">
        <v>60</v>
      </c>
      <c r="P44" t="s">
        <v>66</v>
      </c>
      <c r="Q44" t="s">
        <v>38</v>
      </c>
      <c r="R44" t="s">
        <v>106</v>
      </c>
      <c r="S44" s="4">
        <v>36</v>
      </c>
      <c r="T44" s="3">
        <v>388796.8833333333</v>
      </c>
      <c r="U44" s="3">
        <v>41828.046666666662</v>
      </c>
      <c r="V44" s="3">
        <v>346968.83666666667</v>
      </c>
      <c r="W44" s="3">
        <v>388796.8833333333</v>
      </c>
      <c r="X44" t="s">
        <v>180</v>
      </c>
      <c r="Y44" t="s">
        <v>181</v>
      </c>
      <c r="Z44" t="s">
        <v>43</v>
      </c>
      <c r="AA44" t="s">
        <v>44</v>
      </c>
      <c r="AB44" t="s">
        <v>45</v>
      </c>
      <c r="AC44" t="s">
        <v>46</v>
      </c>
      <c r="AD44" s="5">
        <v>0</v>
      </c>
      <c r="AE44" s="5">
        <v>0</v>
      </c>
    </row>
    <row r="45" spans="1:31" x14ac:dyDescent="0.2">
      <c r="A45">
        <v>4600058727</v>
      </c>
      <c r="C45" s="2">
        <v>46029</v>
      </c>
      <c r="D45" t="s">
        <v>31</v>
      </c>
      <c r="E45">
        <v>3036529</v>
      </c>
      <c r="F45" t="s">
        <v>94</v>
      </c>
      <c r="G45" t="s">
        <v>182</v>
      </c>
      <c r="H45" s="2">
        <v>45838</v>
      </c>
      <c r="I45" s="2">
        <v>46202</v>
      </c>
      <c r="J45" s="3">
        <v>368643.07</v>
      </c>
      <c r="K45" s="3">
        <v>150029.54</v>
      </c>
      <c r="L45" s="3">
        <v>218613.53</v>
      </c>
      <c r="M45" t="s">
        <v>58</v>
      </c>
      <c r="N45" t="s">
        <v>59</v>
      </c>
      <c r="O45" t="s">
        <v>60</v>
      </c>
      <c r="P45" t="s">
        <v>61</v>
      </c>
      <c r="Q45" t="s">
        <v>38</v>
      </c>
      <c r="R45" t="s">
        <v>86</v>
      </c>
      <c r="S45" s="4">
        <v>12</v>
      </c>
      <c r="T45" s="3">
        <v>368643.07</v>
      </c>
      <c r="U45" s="3">
        <v>150029.54</v>
      </c>
      <c r="V45" s="3">
        <v>218613.53</v>
      </c>
      <c r="W45" s="3">
        <v>368643.07</v>
      </c>
      <c r="X45" t="s">
        <v>68</v>
      </c>
      <c r="Y45" t="s">
        <v>69</v>
      </c>
      <c r="Z45" t="s">
        <v>43</v>
      </c>
      <c r="AA45" t="s">
        <v>44</v>
      </c>
      <c r="AB45" t="s">
        <v>45</v>
      </c>
      <c r="AC45" t="s">
        <v>55</v>
      </c>
      <c r="AD45" s="5">
        <v>0</v>
      </c>
      <c r="AE45" s="5">
        <v>1</v>
      </c>
    </row>
    <row r="46" spans="1:31" x14ac:dyDescent="0.2">
      <c r="A46">
        <v>4600060028</v>
      </c>
      <c r="C46" s="2"/>
      <c r="D46" t="s">
        <v>31</v>
      </c>
      <c r="E46">
        <v>3047909</v>
      </c>
      <c r="G46" t="s">
        <v>183</v>
      </c>
      <c r="H46" s="2">
        <v>45901</v>
      </c>
      <c r="I46" s="2">
        <v>46234</v>
      </c>
      <c r="J46" s="3">
        <v>362703.76</v>
      </c>
      <c r="K46" s="3">
        <v>32012.34</v>
      </c>
      <c r="L46" s="3">
        <v>330691.42</v>
      </c>
      <c r="M46" t="s">
        <v>184</v>
      </c>
      <c r="N46" t="s">
        <v>185</v>
      </c>
      <c r="O46" t="s">
        <v>186</v>
      </c>
      <c r="P46" t="s">
        <v>187</v>
      </c>
      <c r="Q46" t="s">
        <v>38</v>
      </c>
      <c r="R46" t="s">
        <v>130</v>
      </c>
      <c r="S46" s="4">
        <v>10</v>
      </c>
      <c r="T46" s="3">
        <v>362703.76</v>
      </c>
      <c r="U46" s="3">
        <v>32012.34</v>
      </c>
      <c r="V46" s="3">
        <v>330691.42</v>
      </c>
      <c r="W46" s="3">
        <v>362703.76</v>
      </c>
      <c r="X46" t="s">
        <v>87</v>
      </c>
      <c r="Y46" t="s">
        <v>88</v>
      </c>
      <c r="Z46" t="s">
        <v>31</v>
      </c>
      <c r="AA46" t="s">
        <v>44</v>
      </c>
      <c r="AB46" t="s">
        <v>45</v>
      </c>
      <c r="AC46" t="s">
        <v>46</v>
      </c>
      <c r="AD46" s="5">
        <v>0</v>
      </c>
      <c r="AE46" s="5">
        <v>0</v>
      </c>
    </row>
    <row r="47" spans="1:31" x14ac:dyDescent="0.2">
      <c r="A47">
        <v>4600058630</v>
      </c>
      <c r="C47" s="2"/>
      <c r="D47" t="s">
        <v>31</v>
      </c>
      <c r="E47">
        <v>101091</v>
      </c>
      <c r="F47" t="s">
        <v>188</v>
      </c>
      <c r="G47" t="s">
        <v>189</v>
      </c>
      <c r="H47" s="2">
        <v>42430</v>
      </c>
      <c r="I47" s="2">
        <v>46081</v>
      </c>
      <c r="J47" s="3">
        <v>3163782.7</v>
      </c>
      <c r="K47" s="3">
        <v>2952203.82</v>
      </c>
      <c r="L47" s="3">
        <v>211578.88</v>
      </c>
      <c r="M47" t="s">
        <v>58</v>
      </c>
      <c r="N47" t="s">
        <v>59</v>
      </c>
      <c r="O47" t="s">
        <v>60</v>
      </c>
      <c r="P47" t="s">
        <v>61</v>
      </c>
      <c r="Q47" t="s">
        <v>38</v>
      </c>
      <c r="R47" t="s">
        <v>86</v>
      </c>
      <c r="S47" s="4">
        <v>119</v>
      </c>
      <c r="T47" s="3">
        <v>319036.91092436982</v>
      </c>
      <c r="U47" s="3">
        <v>297701.22554621845</v>
      </c>
      <c r="V47" s="3">
        <v>21335.685378151262</v>
      </c>
      <c r="W47" s="3">
        <v>319036.9109243697</v>
      </c>
      <c r="X47" t="s">
        <v>82</v>
      </c>
      <c r="Y47" t="s">
        <v>83</v>
      </c>
      <c r="Z47" t="s">
        <v>43</v>
      </c>
      <c r="AA47" t="s">
        <v>44</v>
      </c>
      <c r="AB47" t="s">
        <v>45</v>
      </c>
      <c r="AC47" t="s">
        <v>46</v>
      </c>
      <c r="AD47" s="5">
        <v>0</v>
      </c>
      <c r="AE47" s="5">
        <v>0</v>
      </c>
    </row>
    <row r="48" spans="1:31" x14ac:dyDescent="0.2">
      <c r="A48">
        <v>4600058708</v>
      </c>
      <c r="C48" s="2">
        <v>45639</v>
      </c>
      <c r="D48" t="s">
        <v>31</v>
      </c>
      <c r="E48">
        <v>3040507</v>
      </c>
      <c r="F48" t="s">
        <v>190</v>
      </c>
      <c r="G48" t="s">
        <v>191</v>
      </c>
      <c r="H48" s="2">
        <v>44660</v>
      </c>
      <c r="I48" s="2">
        <v>46120</v>
      </c>
      <c r="J48" s="3">
        <v>1256107.8600000001</v>
      </c>
      <c r="K48" s="3">
        <v>1214919.3899999999</v>
      </c>
      <c r="L48" s="3">
        <v>41188.47</v>
      </c>
      <c r="M48" t="s">
        <v>34</v>
      </c>
      <c r="N48" t="s">
        <v>128</v>
      </c>
      <c r="O48" t="s">
        <v>36</v>
      </c>
      <c r="P48" t="s">
        <v>129</v>
      </c>
      <c r="Q48" t="s">
        <v>38</v>
      </c>
      <c r="R48" t="s">
        <v>40</v>
      </c>
      <c r="S48" s="4">
        <v>48</v>
      </c>
      <c r="T48" s="3">
        <v>314026.96500000003</v>
      </c>
      <c r="U48" s="3">
        <v>303729.84749999997</v>
      </c>
      <c r="V48" s="3">
        <v>10297.1175</v>
      </c>
      <c r="W48" s="3">
        <v>314026.96499999997</v>
      </c>
      <c r="X48" t="s">
        <v>87</v>
      </c>
      <c r="Y48" t="s">
        <v>88</v>
      </c>
      <c r="Z48" t="s">
        <v>43</v>
      </c>
      <c r="AA48" t="s">
        <v>44</v>
      </c>
      <c r="AB48" t="s">
        <v>45</v>
      </c>
      <c r="AC48" t="s">
        <v>55</v>
      </c>
      <c r="AD48" s="5">
        <v>0</v>
      </c>
      <c r="AE48" s="5">
        <v>1</v>
      </c>
    </row>
    <row r="49" spans="1:31" x14ac:dyDescent="0.2">
      <c r="A49">
        <v>4600058737</v>
      </c>
      <c r="C49" s="2"/>
      <c r="D49" t="s">
        <v>31</v>
      </c>
      <c r="E49">
        <v>3036403</v>
      </c>
      <c r="F49" t="s">
        <v>192</v>
      </c>
      <c r="G49" t="s">
        <v>193</v>
      </c>
      <c r="H49" s="2">
        <v>44862</v>
      </c>
      <c r="I49" s="2">
        <v>46046</v>
      </c>
      <c r="J49" s="3">
        <v>1015693.19</v>
      </c>
      <c r="K49" s="3">
        <v>984115.87</v>
      </c>
      <c r="L49" s="3">
        <v>31577.32</v>
      </c>
      <c r="M49" t="s">
        <v>58</v>
      </c>
      <c r="N49" t="s">
        <v>59</v>
      </c>
      <c r="O49" t="s">
        <v>60</v>
      </c>
      <c r="P49" t="s">
        <v>66</v>
      </c>
      <c r="Q49" t="s">
        <v>38</v>
      </c>
      <c r="S49" s="4">
        <v>39</v>
      </c>
      <c r="T49" s="3">
        <v>312520.98153846152</v>
      </c>
      <c r="U49" s="3">
        <v>302804.88307692308</v>
      </c>
      <c r="V49" s="3">
        <v>9716.0984615384605</v>
      </c>
      <c r="W49" s="3">
        <v>312520.98153846152</v>
      </c>
      <c r="X49" t="s">
        <v>98</v>
      </c>
      <c r="Y49" t="s">
        <v>99</v>
      </c>
      <c r="Z49" t="s">
        <v>43</v>
      </c>
      <c r="AA49" t="s">
        <v>44</v>
      </c>
      <c r="AB49" t="s">
        <v>45</v>
      </c>
      <c r="AC49" t="s">
        <v>46</v>
      </c>
      <c r="AD49" s="5">
        <v>0</v>
      </c>
      <c r="AE49" s="5">
        <v>0</v>
      </c>
    </row>
    <row r="50" spans="1:31" x14ac:dyDescent="0.2">
      <c r="A50">
        <v>4600058686</v>
      </c>
      <c r="C50" s="2">
        <v>46029</v>
      </c>
      <c r="D50" t="s">
        <v>31</v>
      </c>
      <c r="E50">
        <v>142809</v>
      </c>
      <c r="F50" t="s">
        <v>194</v>
      </c>
      <c r="G50" t="s">
        <v>195</v>
      </c>
      <c r="H50" s="2">
        <v>44409</v>
      </c>
      <c r="I50" s="2">
        <v>46234</v>
      </c>
      <c r="J50" s="3">
        <v>1281707.6599999999</v>
      </c>
      <c r="K50" s="3">
        <v>488092</v>
      </c>
      <c r="L50" s="3">
        <v>793615.66</v>
      </c>
      <c r="M50" t="s">
        <v>58</v>
      </c>
      <c r="N50" t="s">
        <v>59</v>
      </c>
      <c r="O50" t="s">
        <v>60</v>
      </c>
      <c r="P50" t="s">
        <v>61</v>
      </c>
      <c r="Q50" t="s">
        <v>38</v>
      </c>
      <c r="R50" t="s">
        <v>106</v>
      </c>
      <c r="S50" s="4">
        <v>59</v>
      </c>
      <c r="T50" s="3">
        <v>260686.30372881354</v>
      </c>
      <c r="U50" s="3">
        <v>99272.94915254238</v>
      </c>
      <c r="V50" s="3">
        <v>161413.35457627117</v>
      </c>
      <c r="W50" s="3">
        <v>260686.30372881354</v>
      </c>
      <c r="X50" t="s">
        <v>98</v>
      </c>
      <c r="Y50" t="s">
        <v>99</v>
      </c>
      <c r="Z50" t="s">
        <v>43</v>
      </c>
      <c r="AA50" t="s">
        <v>44</v>
      </c>
      <c r="AB50" t="s">
        <v>45</v>
      </c>
      <c r="AC50" t="s">
        <v>55</v>
      </c>
      <c r="AD50" s="5">
        <v>0</v>
      </c>
      <c r="AE50" s="5">
        <v>1</v>
      </c>
    </row>
    <row r="51" spans="1:31" x14ac:dyDescent="0.2">
      <c r="A51">
        <v>4600058738</v>
      </c>
      <c r="B51">
        <v>68249546</v>
      </c>
      <c r="C51" s="2">
        <v>46029</v>
      </c>
      <c r="D51" t="s">
        <v>31</v>
      </c>
      <c r="E51">
        <v>3021654</v>
      </c>
      <c r="F51" t="s">
        <v>196</v>
      </c>
      <c r="G51" t="s">
        <v>197</v>
      </c>
      <c r="H51" s="2">
        <v>44894</v>
      </c>
      <c r="I51" s="2">
        <v>46052</v>
      </c>
      <c r="J51" s="3">
        <v>813421</v>
      </c>
      <c r="K51" s="3">
        <v>714677.7</v>
      </c>
      <c r="L51" s="3">
        <v>98743.3</v>
      </c>
      <c r="M51" t="s">
        <v>34</v>
      </c>
      <c r="N51" t="s">
        <v>35</v>
      </c>
      <c r="O51" t="s">
        <v>36</v>
      </c>
      <c r="P51" t="s">
        <v>37</v>
      </c>
      <c r="Q51" t="s">
        <v>62</v>
      </c>
      <c r="S51" s="4">
        <v>38</v>
      </c>
      <c r="T51" s="3">
        <v>256869.78947368421</v>
      </c>
      <c r="U51" s="3">
        <v>225687.69473684207</v>
      </c>
      <c r="V51" s="3">
        <v>31182.094736842108</v>
      </c>
      <c r="W51" s="3">
        <v>256869.78947368418</v>
      </c>
      <c r="X51" t="s">
        <v>53</v>
      </c>
      <c r="Y51" t="s">
        <v>54</v>
      </c>
      <c r="Z51" t="s">
        <v>43</v>
      </c>
      <c r="AA51" t="s">
        <v>78</v>
      </c>
      <c r="AB51" t="s">
        <v>45</v>
      </c>
      <c r="AC51" t="s">
        <v>55</v>
      </c>
      <c r="AD51" s="5">
        <v>0</v>
      </c>
      <c r="AE51" s="5">
        <v>1</v>
      </c>
    </row>
    <row r="52" spans="1:31" x14ac:dyDescent="0.2">
      <c r="A52">
        <v>4600059327</v>
      </c>
      <c r="C52" s="2"/>
      <c r="D52" t="s">
        <v>31</v>
      </c>
      <c r="E52">
        <v>3047025</v>
      </c>
      <c r="F52" t="s">
        <v>198</v>
      </c>
      <c r="G52" t="s">
        <v>199</v>
      </c>
      <c r="H52" s="2">
        <v>45757</v>
      </c>
      <c r="I52" s="2">
        <v>46486</v>
      </c>
      <c r="J52" s="3">
        <v>502111.12429299997</v>
      </c>
      <c r="K52" s="3">
        <v>449598.65568000003</v>
      </c>
      <c r="L52" s="3">
        <v>52512.468612999997</v>
      </c>
      <c r="M52" t="s">
        <v>34</v>
      </c>
      <c r="N52" t="s">
        <v>128</v>
      </c>
      <c r="O52" t="s">
        <v>36</v>
      </c>
      <c r="P52" t="s">
        <v>153</v>
      </c>
      <c r="Q52" t="s">
        <v>38</v>
      </c>
      <c r="R52" t="s">
        <v>200</v>
      </c>
      <c r="S52" s="4">
        <v>24</v>
      </c>
      <c r="T52" s="3">
        <v>251055.56214649999</v>
      </c>
      <c r="U52" s="3">
        <v>224799.32784000001</v>
      </c>
      <c r="V52" s="3">
        <v>26256.234306499999</v>
      </c>
      <c r="W52" s="3">
        <v>251055.56214650001</v>
      </c>
      <c r="X52" t="s">
        <v>53</v>
      </c>
      <c r="Y52" t="s">
        <v>54</v>
      </c>
      <c r="Z52" t="s">
        <v>43</v>
      </c>
      <c r="AA52" t="s">
        <v>44</v>
      </c>
      <c r="AB52" t="s">
        <v>154</v>
      </c>
      <c r="AC52" t="s">
        <v>46</v>
      </c>
      <c r="AD52" s="5">
        <v>0</v>
      </c>
      <c r="AE52" s="5">
        <v>0</v>
      </c>
    </row>
    <row r="53" spans="1:31" x14ac:dyDescent="0.2">
      <c r="A53">
        <v>4600058633</v>
      </c>
      <c r="C53" s="2"/>
      <c r="D53" t="s">
        <v>31</v>
      </c>
      <c r="E53">
        <v>188451</v>
      </c>
      <c r="F53" t="s">
        <v>201</v>
      </c>
      <c r="G53" t="s">
        <v>202</v>
      </c>
      <c r="H53" s="2">
        <v>45627</v>
      </c>
      <c r="I53" s="2">
        <v>46142</v>
      </c>
      <c r="J53" s="3">
        <v>298846.34000000003</v>
      </c>
      <c r="K53" s="3">
        <v>298846.34000000003</v>
      </c>
      <c r="L53" s="3">
        <v>0</v>
      </c>
      <c r="M53" t="s">
        <v>34</v>
      </c>
      <c r="N53" t="s">
        <v>111</v>
      </c>
      <c r="O53" t="s">
        <v>36</v>
      </c>
      <c r="P53" t="s">
        <v>142</v>
      </c>
      <c r="Q53" t="s">
        <v>38</v>
      </c>
      <c r="R53" t="s">
        <v>130</v>
      </c>
      <c r="S53" s="4">
        <v>16</v>
      </c>
      <c r="T53" s="3">
        <v>224134.755</v>
      </c>
      <c r="U53" s="3">
        <v>224134.755</v>
      </c>
      <c r="V53" s="3">
        <v>0</v>
      </c>
      <c r="W53" s="3">
        <v>224134.755</v>
      </c>
      <c r="X53" t="s">
        <v>87</v>
      </c>
      <c r="Y53" t="s">
        <v>88</v>
      </c>
      <c r="Z53" t="s">
        <v>43</v>
      </c>
      <c r="AA53" t="s">
        <v>44</v>
      </c>
      <c r="AB53" t="s">
        <v>45</v>
      </c>
      <c r="AC53" t="s">
        <v>46</v>
      </c>
      <c r="AD53" s="5">
        <v>0</v>
      </c>
      <c r="AE53" s="5">
        <v>0</v>
      </c>
    </row>
    <row r="54" spans="1:31" x14ac:dyDescent="0.2">
      <c r="A54">
        <v>4600058602</v>
      </c>
      <c r="C54" s="2"/>
      <c r="D54" t="s">
        <v>31</v>
      </c>
      <c r="E54">
        <v>181937</v>
      </c>
      <c r="F54" t="s">
        <v>203</v>
      </c>
      <c r="G54" t="s">
        <v>204</v>
      </c>
      <c r="H54" s="2">
        <v>41674</v>
      </c>
      <c r="I54" s="2">
        <v>46203</v>
      </c>
      <c r="J54" s="3">
        <v>2728965.52</v>
      </c>
      <c r="K54" s="3">
        <v>1878549.98</v>
      </c>
      <c r="L54" s="3">
        <v>850415.54</v>
      </c>
      <c r="M54" t="s">
        <v>58</v>
      </c>
      <c r="N54" t="s">
        <v>151</v>
      </c>
      <c r="O54" t="s">
        <v>60</v>
      </c>
      <c r="P54" t="s">
        <v>177</v>
      </c>
      <c r="Q54" t="s">
        <v>38</v>
      </c>
      <c r="R54" t="s">
        <v>86</v>
      </c>
      <c r="S54" s="4">
        <v>148</v>
      </c>
      <c r="T54" s="3">
        <v>221267.47459459462</v>
      </c>
      <c r="U54" s="3">
        <v>152314.86324324322</v>
      </c>
      <c r="V54" s="3">
        <v>68952.611351351356</v>
      </c>
      <c r="W54" s="3">
        <v>221267.47459459456</v>
      </c>
      <c r="X54" t="s">
        <v>87</v>
      </c>
      <c r="Y54" t="s">
        <v>88</v>
      </c>
      <c r="Z54" t="s">
        <v>43</v>
      </c>
      <c r="AA54" t="s">
        <v>44</v>
      </c>
      <c r="AB54" t="s">
        <v>45</v>
      </c>
      <c r="AC54" t="s">
        <v>46</v>
      </c>
      <c r="AD54" s="5">
        <v>0</v>
      </c>
      <c r="AE54" s="5">
        <v>0</v>
      </c>
    </row>
    <row r="55" spans="1:31" x14ac:dyDescent="0.2">
      <c r="A55">
        <v>4600059656</v>
      </c>
      <c r="C55" s="2"/>
      <c r="D55" t="s">
        <v>31</v>
      </c>
      <c r="E55">
        <v>3047489</v>
      </c>
      <c r="F55" t="s">
        <v>205</v>
      </c>
      <c r="G55" t="s">
        <v>206</v>
      </c>
      <c r="H55" s="2">
        <v>42459</v>
      </c>
      <c r="I55" s="2">
        <v>46203</v>
      </c>
      <c r="J55" s="3">
        <v>2239012.36</v>
      </c>
      <c r="K55" s="3">
        <v>21120.03</v>
      </c>
      <c r="L55" s="3">
        <v>2217892.33</v>
      </c>
      <c r="M55" t="s">
        <v>34</v>
      </c>
      <c r="N55" t="s">
        <v>128</v>
      </c>
      <c r="O55" t="s">
        <v>36</v>
      </c>
      <c r="P55" t="s">
        <v>129</v>
      </c>
      <c r="Q55" t="s">
        <v>38</v>
      </c>
      <c r="R55" t="s">
        <v>81</v>
      </c>
      <c r="S55" s="4">
        <v>123</v>
      </c>
      <c r="T55" s="3">
        <v>218440.23024390245</v>
      </c>
      <c r="U55" s="3">
        <v>2060.4907317073171</v>
      </c>
      <c r="V55" s="3">
        <v>216379.73951219514</v>
      </c>
      <c r="W55" s="3">
        <v>218440.23024390245</v>
      </c>
      <c r="X55" t="s">
        <v>68</v>
      </c>
      <c r="Y55" t="s">
        <v>69</v>
      </c>
      <c r="Z55" t="s">
        <v>31</v>
      </c>
      <c r="AA55" t="s">
        <v>44</v>
      </c>
      <c r="AB55" t="s">
        <v>45</v>
      </c>
      <c r="AC55" t="s">
        <v>46</v>
      </c>
      <c r="AD55" s="5">
        <v>0</v>
      </c>
      <c r="AE55" s="5">
        <v>0</v>
      </c>
    </row>
    <row r="56" spans="1:31" x14ac:dyDescent="0.2">
      <c r="A56">
        <v>4600058692</v>
      </c>
      <c r="C56" s="2"/>
      <c r="D56" t="s">
        <v>31</v>
      </c>
      <c r="E56">
        <v>167547</v>
      </c>
      <c r="F56" t="s">
        <v>167</v>
      </c>
      <c r="G56" t="s">
        <v>207</v>
      </c>
      <c r="H56" s="2">
        <v>44427</v>
      </c>
      <c r="I56" s="2">
        <v>46371</v>
      </c>
      <c r="J56" s="3">
        <v>1157903.1200000001</v>
      </c>
      <c r="K56" s="3">
        <v>540833.37</v>
      </c>
      <c r="L56" s="3">
        <v>617069.75</v>
      </c>
      <c r="M56" t="s">
        <v>58</v>
      </c>
      <c r="N56" t="s">
        <v>59</v>
      </c>
      <c r="O56" t="s">
        <v>60</v>
      </c>
      <c r="P56" t="s">
        <v>61</v>
      </c>
      <c r="Q56" t="s">
        <v>62</v>
      </c>
      <c r="R56" t="s">
        <v>86</v>
      </c>
      <c r="S56" s="4">
        <v>64</v>
      </c>
      <c r="T56" s="3">
        <v>217106.83500000002</v>
      </c>
      <c r="U56" s="3">
        <v>101406.25687499999</v>
      </c>
      <c r="V56" s="3">
        <v>115700.578125</v>
      </c>
      <c r="W56" s="3">
        <v>217106.83499999999</v>
      </c>
      <c r="X56" t="s">
        <v>87</v>
      </c>
      <c r="Y56" t="s">
        <v>88</v>
      </c>
      <c r="Z56" t="s">
        <v>43</v>
      </c>
      <c r="AA56" t="s">
        <v>63</v>
      </c>
      <c r="AB56" t="s">
        <v>45</v>
      </c>
      <c r="AC56" t="s">
        <v>46</v>
      </c>
      <c r="AD56" s="5">
        <v>0</v>
      </c>
      <c r="AE56" s="5">
        <v>0</v>
      </c>
    </row>
    <row r="57" spans="1:31" x14ac:dyDescent="0.2">
      <c r="A57">
        <v>4600058750</v>
      </c>
      <c r="C57" s="2"/>
      <c r="D57" t="s">
        <v>31</v>
      </c>
      <c r="E57">
        <v>119569</v>
      </c>
      <c r="F57" t="s">
        <v>208</v>
      </c>
      <c r="G57" t="s">
        <v>209</v>
      </c>
      <c r="H57" s="2">
        <v>45082</v>
      </c>
      <c r="I57" s="2">
        <v>46200</v>
      </c>
      <c r="J57" s="3">
        <v>592865.18999999994</v>
      </c>
      <c r="K57" s="3">
        <v>592685.18999999994</v>
      </c>
      <c r="L57" s="3">
        <v>180</v>
      </c>
      <c r="M57" t="s">
        <v>58</v>
      </c>
      <c r="N57" t="s">
        <v>59</v>
      </c>
      <c r="O57" t="s">
        <v>60</v>
      </c>
      <c r="P57" t="s">
        <v>66</v>
      </c>
      <c r="Q57" t="s">
        <v>38</v>
      </c>
      <c r="R57" t="s">
        <v>106</v>
      </c>
      <c r="S57" s="4">
        <v>36</v>
      </c>
      <c r="T57" s="3">
        <v>197621.72999999998</v>
      </c>
      <c r="U57" s="3">
        <v>197561.72999999998</v>
      </c>
      <c r="V57" s="3">
        <v>60</v>
      </c>
      <c r="W57" s="3">
        <v>197621.72999999998</v>
      </c>
      <c r="X57" t="s">
        <v>87</v>
      </c>
      <c r="Y57" t="s">
        <v>88</v>
      </c>
      <c r="Z57" t="s">
        <v>43</v>
      </c>
      <c r="AA57" t="s">
        <v>44</v>
      </c>
      <c r="AB57" t="s">
        <v>45</v>
      </c>
      <c r="AC57" t="s">
        <v>46</v>
      </c>
      <c r="AD57" s="5">
        <v>0</v>
      </c>
      <c r="AE57" s="5">
        <v>0</v>
      </c>
    </row>
    <row r="58" spans="1:31" x14ac:dyDescent="0.2">
      <c r="A58">
        <v>4600059954</v>
      </c>
      <c r="C58" s="2"/>
      <c r="D58" t="s">
        <v>31</v>
      </c>
      <c r="E58">
        <v>185532</v>
      </c>
      <c r="F58" t="s">
        <v>210</v>
      </c>
      <c r="G58" t="s">
        <v>211</v>
      </c>
      <c r="H58" s="2">
        <v>45869</v>
      </c>
      <c r="I58" s="2">
        <v>46233</v>
      </c>
      <c r="J58" s="3">
        <v>178783.11</v>
      </c>
      <c r="K58" s="3">
        <v>95138.08</v>
      </c>
      <c r="L58" s="3">
        <v>83645.03</v>
      </c>
      <c r="M58" t="s">
        <v>58</v>
      </c>
      <c r="N58" t="s">
        <v>151</v>
      </c>
      <c r="O58" t="s">
        <v>60</v>
      </c>
      <c r="P58" t="s">
        <v>212</v>
      </c>
      <c r="Q58" t="s">
        <v>38</v>
      </c>
      <c r="R58" t="s">
        <v>147</v>
      </c>
      <c r="S58" s="4">
        <v>12</v>
      </c>
      <c r="T58" s="3">
        <v>178783.11</v>
      </c>
      <c r="U58" s="3">
        <v>95138.08</v>
      </c>
      <c r="V58" s="3">
        <v>83645.03</v>
      </c>
      <c r="W58" s="3">
        <v>178783.11</v>
      </c>
      <c r="X58" t="s">
        <v>68</v>
      </c>
      <c r="Y58" t="s">
        <v>69</v>
      </c>
      <c r="Z58" t="s">
        <v>31</v>
      </c>
      <c r="AA58" t="s">
        <v>44</v>
      </c>
      <c r="AB58" t="s">
        <v>45</v>
      </c>
      <c r="AC58" t="s">
        <v>46</v>
      </c>
      <c r="AD58" s="5">
        <v>0</v>
      </c>
      <c r="AE58" s="5">
        <v>0</v>
      </c>
    </row>
    <row r="59" spans="1:31" x14ac:dyDescent="0.2">
      <c r="A59">
        <v>4600059178</v>
      </c>
      <c r="C59" s="2"/>
      <c r="D59" t="s">
        <v>31</v>
      </c>
      <c r="E59">
        <v>3000989</v>
      </c>
      <c r="F59" t="s">
        <v>213</v>
      </c>
      <c r="G59" t="s">
        <v>214</v>
      </c>
      <c r="H59" s="2">
        <v>45658</v>
      </c>
      <c r="I59" s="2">
        <v>46387</v>
      </c>
      <c r="J59" s="3">
        <v>317907.84000000003</v>
      </c>
      <c r="K59" s="3">
        <v>0</v>
      </c>
      <c r="L59" s="3">
        <v>317907.84000000003</v>
      </c>
      <c r="M59" t="s">
        <v>58</v>
      </c>
      <c r="N59" t="s">
        <v>59</v>
      </c>
      <c r="O59" t="s">
        <v>60</v>
      </c>
      <c r="P59" t="s">
        <v>66</v>
      </c>
      <c r="Q59" t="s">
        <v>38</v>
      </c>
      <c r="R59" t="s">
        <v>147</v>
      </c>
      <c r="S59" s="4">
        <v>23</v>
      </c>
      <c r="T59" s="3">
        <v>165864.95999999999</v>
      </c>
      <c r="U59" s="3">
        <v>0</v>
      </c>
      <c r="V59" s="3">
        <v>165864.95999999999</v>
      </c>
      <c r="W59" s="3">
        <v>165864.95999999999</v>
      </c>
      <c r="X59" t="s">
        <v>98</v>
      </c>
      <c r="Y59" t="s">
        <v>99</v>
      </c>
      <c r="Z59" t="s">
        <v>43</v>
      </c>
      <c r="AA59" t="s">
        <v>44</v>
      </c>
      <c r="AB59" t="s">
        <v>45</v>
      </c>
      <c r="AC59" t="s">
        <v>46</v>
      </c>
      <c r="AD59" s="5">
        <v>0</v>
      </c>
      <c r="AE59" s="5">
        <v>0</v>
      </c>
    </row>
    <row r="60" spans="1:31" x14ac:dyDescent="0.2">
      <c r="A60">
        <v>4600058754</v>
      </c>
      <c r="C60" s="2">
        <v>46030</v>
      </c>
      <c r="D60" t="s">
        <v>31</v>
      </c>
      <c r="E60">
        <v>176743</v>
      </c>
      <c r="F60" t="s">
        <v>215</v>
      </c>
      <c r="G60" t="s">
        <v>216</v>
      </c>
      <c r="H60" s="2">
        <v>45108</v>
      </c>
      <c r="I60" s="2">
        <v>46203</v>
      </c>
      <c r="J60" s="3">
        <v>431820.18</v>
      </c>
      <c r="K60" s="3">
        <v>168160.32</v>
      </c>
      <c r="L60" s="3">
        <v>263659.86</v>
      </c>
      <c r="M60" t="s">
        <v>217</v>
      </c>
      <c r="N60" t="s">
        <v>218</v>
      </c>
      <c r="O60" t="s">
        <v>219</v>
      </c>
      <c r="P60" t="s">
        <v>220</v>
      </c>
      <c r="Q60" t="s">
        <v>38</v>
      </c>
      <c r="R60" t="s">
        <v>52</v>
      </c>
      <c r="S60" s="4">
        <v>35</v>
      </c>
      <c r="T60" s="3">
        <v>148052.63314285714</v>
      </c>
      <c r="U60" s="3">
        <v>57654.966857142863</v>
      </c>
      <c r="V60" s="3">
        <v>90397.66628571428</v>
      </c>
      <c r="W60" s="3">
        <v>148052.63314285714</v>
      </c>
      <c r="X60" t="s">
        <v>87</v>
      </c>
      <c r="Y60" t="s">
        <v>88</v>
      </c>
      <c r="Z60" t="s">
        <v>43</v>
      </c>
      <c r="AA60" t="s">
        <v>44</v>
      </c>
      <c r="AB60" t="s">
        <v>45</v>
      </c>
      <c r="AC60" t="s">
        <v>55</v>
      </c>
      <c r="AD60" s="5">
        <v>0</v>
      </c>
      <c r="AE60" s="5">
        <v>1</v>
      </c>
    </row>
    <row r="61" spans="1:31" x14ac:dyDescent="0.2">
      <c r="A61">
        <v>4600058643</v>
      </c>
      <c r="C61" s="2"/>
      <c r="D61" t="s">
        <v>31</v>
      </c>
      <c r="E61">
        <v>3013461</v>
      </c>
      <c r="F61" t="s">
        <v>221</v>
      </c>
      <c r="G61" t="s">
        <v>222</v>
      </c>
      <c r="H61" s="2">
        <v>43222</v>
      </c>
      <c r="I61" s="2">
        <v>46120</v>
      </c>
      <c r="J61" s="3">
        <v>1033375.76</v>
      </c>
      <c r="K61" s="3">
        <v>28423.24</v>
      </c>
      <c r="L61" s="3">
        <v>1004952.52</v>
      </c>
      <c r="M61" t="s">
        <v>34</v>
      </c>
      <c r="N61" t="s">
        <v>35</v>
      </c>
      <c r="O61" t="s">
        <v>36</v>
      </c>
      <c r="P61" t="s">
        <v>37</v>
      </c>
      <c r="Q61" t="s">
        <v>38</v>
      </c>
      <c r="R61" t="s">
        <v>40</v>
      </c>
      <c r="S61" s="4">
        <v>95</v>
      </c>
      <c r="T61" s="3">
        <v>130531.67494736843</v>
      </c>
      <c r="U61" s="3">
        <v>3590.3040000000001</v>
      </c>
      <c r="V61" s="3">
        <v>126941.37094736843</v>
      </c>
      <c r="W61" s="3">
        <v>130531.67494736843</v>
      </c>
      <c r="X61" t="s">
        <v>87</v>
      </c>
      <c r="Y61" t="s">
        <v>88</v>
      </c>
      <c r="Z61" t="s">
        <v>43</v>
      </c>
      <c r="AA61" t="s">
        <v>44</v>
      </c>
      <c r="AB61" t="s">
        <v>45</v>
      </c>
      <c r="AC61" t="s">
        <v>46</v>
      </c>
      <c r="AD61" s="5">
        <v>0</v>
      </c>
      <c r="AE61" s="5">
        <v>0</v>
      </c>
    </row>
    <row r="62" spans="1:31" x14ac:dyDescent="0.2">
      <c r="A62">
        <v>4600058779</v>
      </c>
      <c r="C62" s="2"/>
      <c r="D62" t="s">
        <v>31</v>
      </c>
      <c r="E62">
        <v>127179</v>
      </c>
      <c r="F62" t="s">
        <v>223</v>
      </c>
      <c r="G62" t="s">
        <v>224</v>
      </c>
      <c r="H62" s="2">
        <v>45627</v>
      </c>
      <c r="I62" s="2">
        <v>46295</v>
      </c>
      <c r="J62" s="3">
        <v>224591.4</v>
      </c>
      <c r="K62" s="3">
        <v>0</v>
      </c>
      <c r="L62" s="3">
        <v>224591.4</v>
      </c>
      <c r="M62" t="s">
        <v>217</v>
      </c>
      <c r="N62" t="s">
        <v>218</v>
      </c>
      <c r="O62" t="s">
        <v>219</v>
      </c>
      <c r="P62" t="s">
        <v>225</v>
      </c>
      <c r="Q62" t="s">
        <v>38</v>
      </c>
      <c r="R62" t="s">
        <v>52</v>
      </c>
      <c r="S62" s="4">
        <v>21</v>
      </c>
      <c r="T62" s="3">
        <v>128337.94285714284</v>
      </c>
      <c r="U62" s="3">
        <v>0</v>
      </c>
      <c r="V62" s="3">
        <v>128337.94285714284</v>
      </c>
      <c r="W62" s="3">
        <v>128337.94285714284</v>
      </c>
      <c r="X62" t="s">
        <v>53</v>
      </c>
      <c r="Y62" t="s">
        <v>54</v>
      </c>
      <c r="Z62" t="s">
        <v>43</v>
      </c>
      <c r="AA62" t="s">
        <v>44</v>
      </c>
      <c r="AB62" t="s">
        <v>45</v>
      </c>
      <c r="AC62" t="s">
        <v>46</v>
      </c>
      <c r="AD62" s="5">
        <v>0</v>
      </c>
      <c r="AE62" s="5">
        <v>0</v>
      </c>
    </row>
    <row r="63" spans="1:31" x14ac:dyDescent="0.2">
      <c r="A63">
        <v>4600058622</v>
      </c>
      <c r="C63" s="2">
        <v>46028</v>
      </c>
      <c r="D63" t="s">
        <v>31</v>
      </c>
      <c r="E63">
        <v>110268</v>
      </c>
      <c r="F63" t="s">
        <v>116</v>
      </c>
      <c r="G63" t="s">
        <v>226</v>
      </c>
      <c r="H63" s="2">
        <v>42312</v>
      </c>
      <c r="I63" s="2">
        <v>46265</v>
      </c>
      <c r="J63" s="3">
        <v>1283608.5900000001</v>
      </c>
      <c r="K63" s="3">
        <v>864639.55</v>
      </c>
      <c r="L63" s="3">
        <v>418969.04</v>
      </c>
      <c r="M63" t="s">
        <v>58</v>
      </c>
      <c r="N63" t="s">
        <v>124</v>
      </c>
      <c r="O63" t="s">
        <v>60</v>
      </c>
      <c r="P63" t="s">
        <v>227</v>
      </c>
      <c r="Q63" t="s">
        <v>38</v>
      </c>
      <c r="R63" t="s">
        <v>147</v>
      </c>
      <c r="S63" s="4">
        <v>129</v>
      </c>
      <c r="T63" s="3">
        <v>119405.45023255816</v>
      </c>
      <c r="U63" s="3">
        <v>80431.586046511642</v>
      </c>
      <c r="V63" s="3">
        <v>38973.864186046507</v>
      </c>
      <c r="W63" s="3">
        <v>119405.45023255816</v>
      </c>
      <c r="X63" t="s">
        <v>87</v>
      </c>
      <c r="Y63" t="s">
        <v>88</v>
      </c>
      <c r="Z63" t="s">
        <v>43</v>
      </c>
      <c r="AA63" t="s">
        <v>44</v>
      </c>
      <c r="AB63" t="s">
        <v>45</v>
      </c>
      <c r="AC63" t="s">
        <v>55</v>
      </c>
      <c r="AD63" s="5">
        <v>0</v>
      </c>
      <c r="AE63" s="5">
        <v>1</v>
      </c>
    </row>
    <row r="64" spans="1:31" x14ac:dyDescent="0.2">
      <c r="A64">
        <v>4600058783</v>
      </c>
      <c r="C64" s="2">
        <v>46028</v>
      </c>
      <c r="D64" t="s">
        <v>31</v>
      </c>
      <c r="E64">
        <v>3028674</v>
      </c>
      <c r="F64" t="s">
        <v>228</v>
      </c>
      <c r="G64" t="s">
        <v>229</v>
      </c>
      <c r="H64" s="2">
        <v>45383</v>
      </c>
      <c r="I64" s="2">
        <v>46112</v>
      </c>
      <c r="J64" s="3">
        <v>208000</v>
      </c>
      <c r="K64" s="3">
        <v>169000</v>
      </c>
      <c r="L64" s="3">
        <v>39000</v>
      </c>
      <c r="M64" t="s">
        <v>34</v>
      </c>
      <c r="N64" t="s">
        <v>35</v>
      </c>
      <c r="O64" t="s">
        <v>36</v>
      </c>
      <c r="P64" t="s">
        <v>230</v>
      </c>
      <c r="Q64" t="s">
        <v>67</v>
      </c>
      <c r="R64" t="s">
        <v>133</v>
      </c>
      <c r="S64" s="4">
        <v>23</v>
      </c>
      <c r="T64" s="3">
        <v>108521.73913043478</v>
      </c>
      <c r="U64" s="3">
        <v>88173.913043478256</v>
      </c>
      <c r="V64" s="3">
        <v>20347.82608695652</v>
      </c>
      <c r="W64" s="3">
        <v>108521.73913043478</v>
      </c>
      <c r="X64" t="s">
        <v>87</v>
      </c>
      <c r="Y64" t="s">
        <v>88</v>
      </c>
      <c r="Z64" t="s">
        <v>43</v>
      </c>
      <c r="AA64" t="s">
        <v>70</v>
      </c>
      <c r="AB64" t="s">
        <v>45</v>
      </c>
      <c r="AC64" t="s">
        <v>55</v>
      </c>
      <c r="AD64" s="5">
        <v>0</v>
      </c>
      <c r="AE64" s="5">
        <v>1</v>
      </c>
    </row>
    <row r="65" spans="1:31" x14ac:dyDescent="0.2">
      <c r="A65">
        <v>4600058693</v>
      </c>
      <c r="C65" s="2"/>
      <c r="D65" t="s">
        <v>31</v>
      </c>
      <c r="E65">
        <v>3039788</v>
      </c>
      <c r="F65" t="s">
        <v>231</v>
      </c>
      <c r="G65" t="s">
        <v>232</v>
      </c>
      <c r="H65" s="2">
        <v>44434</v>
      </c>
      <c r="I65" s="2">
        <v>46334</v>
      </c>
      <c r="J65" s="3">
        <v>559200</v>
      </c>
      <c r="K65" s="3">
        <v>309200</v>
      </c>
      <c r="L65" s="3">
        <v>250000</v>
      </c>
      <c r="M65" t="s">
        <v>58</v>
      </c>
      <c r="N65" t="s">
        <v>59</v>
      </c>
      <c r="O65" t="s">
        <v>60</v>
      </c>
      <c r="P65" t="s">
        <v>66</v>
      </c>
      <c r="Q65" t="s">
        <v>38</v>
      </c>
      <c r="R65" t="s">
        <v>130</v>
      </c>
      <c r="S65" s="4">
        <v>63</v>
      </c>
      <c r="T65" s="3">
        <v>106514.28571428571</v>
      </c>
      <c r="U65" s="3">
        <v>58895.238095238092</v>
      </c>
      <c r="V65" s="3">
        <v>47619.047619047618</v>
      </c>
      <c r="W65" s="3">
        <v>106514.28571428571</v>
      </c>
      <c r="X65" t="s">
        <v>53</v>
      </c>
      <c r="Y65" t="s">
        <v>54</v>
      </c>
      <c r="Z65" t="s">
        <v>43</v>
      </c>
      <c r="AA65" t="s">
        <v>44</v>
      </c>
      <c r="AB65" t="s">
        <v>45</v>
      </c>
      <c r="AC65" t="s">
        <v>46</v>
      </c>
      <c r="AD65" s="5">
        <v>0</v>
      </c>
      <c r="AE65" s="5">
        <v>0</v>
      </c>
    </row>
    <row r="66" spans="1:31" x14ac:dyDescent="0.2">
      <c r="A66">
        <v>4600058784</v>
      </c>
      <c r="C66" s="2"/>
      <c r="D66" t="s">
        <v>31</v>
      </c>
      <c r="E66">
        <v>104383</v>
      </c>
      <c r="F66" t="s">
        <v>233</v>
      </c>
      <c r="G66" t="s">
        <v>234</v>
      </c>
      <c r="H66" s="2">
        <v>45467</v>
      </c>
      <c r="I66" s="2">
        <v>46198</v>
      </c>
      <c r="J66" s="3">
        <v>193160</v>
      </c>
      <c r="K66" s="3">
        <v>64800</v>
      </c>
      <c r="L66" s="3">
        <v>128360</v>
      </c>
      <c r="M66" t="s">
        <v>184</v>
      </c>
      <c r="N66" t="s">
        <v>235</v>
      </c>
      <c r="O66" t="s">
        <v>186</v>
      </c>
      <c r="P66" t="s">
        <v>236</v>
      </c>
      <c r="Q66" t="s">
        <v>38</v>
      </c>
      <c r="R66" t="s">
        <v>40</v>
      </c>
      <c r="S66" s="4">
        <v>24</v>
      </c>
      <c r="T66" s="3">
        <v>96580</v>
      </c>
      <c r="U66" s="3">
        <v>32400</v>
      </c>
      <c r="V66" s="3">
        <v>64180</v>
      </c>
      <c r="W66" s="3">
        <v>96580</v>
      </c>
      <c r="X66" t="s">
        <v>98</v>
      </c>
      <c r="Y66" t="s">
        <v>99</v>
      </c>
      <c r="Z66" t="s">
        <v>43</v>
      </c>
      <c r="AA66" t="s">
        <v>44</v>
      </c>
      <c r="AB66" t="s">
        <v>45</v>
      </c>
      <c r="AC66" t="s">
        <v>46</v>
      </c>
      <c r="AD66" s="5">
        <v>0</v>
      </c>
      <c r="AE66" s="5">
        <v>0</v>
      </c>
    </row>
    <row r="67" spans="1:31" x14ac:dyDescent="0.2">
      <c r="A67">
        <v>4600058604</v>
      </c>
      <c r="B67">
        <v>69611089</v>
      </c>
      <c r="C67" s="2"/>
      <c r="D67" t="s">
        <v>31</v>
      </c>
      <c r="E67">
        <v>110268</v>
      </c>
      <c r="F67" t="s">
        <v>116</v>
      </c>
      <c r="G67" t="s">
        <v>237</v>
      </c>
      <c r="H67" s="2">
        <v>41796</v>
      </c>
      <c r="I67" s="2">
        <v>46234</v>
      </c>
      <c r="J67" s="3">
        <v>1165874.3600000001</v>
      </c>
      <c r="K67" s="3">
        <v>1159279.1299999999</v>
      </c>
      <c r="L67" s="3">
        <v>6595.23</v>
      </c>
      <c r="M67" t="s">
        <v>58</v>
      </c>
      <c r="N67" t="s">
        <v>151</v>
      </c>
      <c r="O67" t="s">
        <v>60</v>
      </c>
      <c r="P67" t="s">
        <v>177</v>
      </c>
      <c r="Q67" t="s">
        <v>38</v>
      </c>
      <c r="R67" t="s">
        <v>147</v>
      </c>
      <c r="S67" s="4">
        <v>145</v>
      </c>
      <c r="T67" s="3">
        <v>96486.153931034482</v>
      </c>
      <c r="U67" s="3">
        <v>95940.341793103435</v>
      </c>
      <c r="V67" s="3">
        <v>545.8121379310345</v>
      </c>
      <c r="W67" s="3">
        <v>96486.153931034467</v>
      </c>
      <c r="X67" t="s">
        <v>87</v>
      </c>
      <c r="Y67" t="s">
        <v>88</v>
      </c>
      <c r="Z67" t="s">
        <v>43</v>
      </c>
      <c r="AA67" t="s">
        <v>44</v>
      </c>
      <c r="AB67" t="s">
        <v>45</v>
      </c>
      <c r="AC67" t="s">
        <v>46</v>
      </c>
      <c r="AD67" s="5">
        <v>0</v>
      </c>
      <c r="AE67" s="5">
        <v>0</v>
      </c>
    </row>
    <row r="68" spans="1:31" x14ac:dyDescent="0.2">
      <c r="A68">
        <v>4600058694</v>
      </c>
      <c r="C68" s="2"/>
      <c r="D68" t="s">
        <v>31</v>
      </c>
      <c r="E68">
        <v>102603</v>
      </c>
      <c r="F68" t="s">
        <v>178</v>
      </c>
      <c r="G68" t="s">
        <v>238</v>
      </c>
      <c r="H68" s="2">
        <v>44432</v>
      </c>
      <c r="I68" s="2">
        <v>46265</v>
      </c>
      <c r="J68" s="3">
        <v>468305.9</v>
      </c>
      <c r="K68" s="3">
        <v>468305.9</v>
      </c>
      <c r="L68" s="3">
        <v>0</v>
      </c>
      <c r="M68" t="s">
        <v>58</v>
      </c>
      <c r="N68" t="s">
        <v>59</v>
      </c>
      <c r="O68" t="s">
        <v>60</v>
      </c>
      <c r="P68" t="s">
        <v>61</v>
      </c>
      <c r="Q68" t="s">
        <v>38</v>
      </c>
      <c r="R68" t="s">
        <v>106</v>
      </c>
      <c r="S68" s="4">
        <v>60</v>
      </c>
      <c r="T68" s="3">
        <v>93661.180000000008</v>
      </c>
      <c r="U68" s="3">
        <v>93661.180000000008</v>
      </c>
      <c r="V68" s="3">
        <v>0</v>
      </c>
      <c r="W68" s="3">
        <v>93661.180000000008</v>
      </c>
      <c r="X68" t="s">
        <v>87</v>
      </c>
      <c r="Y68" t="s">
        <v>88</v>
      </c>
      <c r="Z68" t="s">
        <v>43</v>
      </c>
      <c r="AA68" t="s">
        <v>44</v>
      </c>
      <c r="AB68" t="s">
        <v>45</v>
      </c>
      <c r="AC68" t="s">
        <v>46</v>
      </c>
      <c r="AD68" s="5">
        <v>0</v>
      </c>
      <c r="AE68" s="5">
        <v>0</v>
      </c>
    </row>
    <row r="69" spans="1:31" x14ac:dyDescent="0.2">
      <c r="A69">
        <v>4600059676</v>
      </c>
      <c r="C69" s="2">
        <v>46037</v>
      </c>
      <c r="D69" t="s">
        <v>31</v>
      </c>
      <c r="E69">
        <v>128216</v>
      </c>
      <c r="F69" t="s">
        <v>239</v>
      </c>
      <c r="G69" t="s">
        <v>240</v>
      </c>
      <c r="H69" s="2">
        <v>45778</v>
      </c>
      <c r="I69" s="2">
        <v>46142</v>
      </c>
      <c r="J69" s="3">
        <v>77169.38</v>
      </c>
      <c r="K69" s="3">
        <v>72860.759999999995</v>
      </c>
      <c r="L69" s="3">
        <v>4308.62</v>
      </c>
      <c r="M69" t="s">
        <v>58</v>
      </c>
      <c r="N69" t="s">
        <v>59</v>
      </c>
      <c r="O69" t="s">
        <v>60</v>
      </c>
      <c r="P69" t="s">
        <v>66</v>
      </c>
      <c r="Q69" t="s">
        <v>38</v>
      </c>
      <c r="R69" t="s">
        <v>106</v>
      </c>
      <c r="S69" s="4">
        <v>11</v>
      </c>
      <c r="T69" s="3">
        <v>77169.38</v>
      </c>
      <c r="U69" s="3">
        <v>72860.759999999995</v>
      </c>
      <c r="V69" s="3">
        <v>4308.62</v>
      </c>
      <c r="W69" s="3">
        <v>77169.37999999999</v>
      </c>
      <c r="X69" t="s">
        <v>87</v>
      </c>
      <c r="Y69" t="s">
        <v>88</v>
      </c>
      <c r="Z69" t="s">
        <v>43</v>
      </c>
      <c r="AA69" t="s">
        <v>44</v>
      </c>
      <c r="AB69" t="s">
        <v>45</v>
      </c>
      <c r="AC69" t="s">
        <v>55</v>
      </c>
      <c r="AD69" s="5">
        <v>0</v>
      </c>
      <c r="AE69" s="5">
        <v>1</v>
      </c>
    </row>
    <row r="70" spans="1:31" x14ac:dyDescent="0.2">
      <c r="A70">
        <v>4600059510</v>
      </c>
      <c r="C70" s="2"/>
      <c r="D70" t="s">
        <v>31</v>
      </c>
      <c r="E70">
        <v>102369</v>
      </c>
      <c r="F70" t="s">
        <v>241</v>
      </c>
      <c r="G70" t="s">
        <v>242</v>
      </c>
      <c r="H70" s="2">
        <v>45627</v>
      </c>
      <c r="I70" s="2">
        <v>46356</v>
      </c>
      <c r="J70" s="3">
        <v>120479.26</v>
      </c>
      <c r="K70" s="3">
        <v>63463.26</v>
      </c>
      <c r="L70" s="3">
        <v>57016</v>
      </c>
      <c r="M70" t="s">
        <v>243</v>
      </c>
      <c r="N70" t="s">
        <v>244</v>
      </c>
      <c r="O70" t="s">
        <v>245</v>
      </c>
      <c r="P70" t="s">
        <v>246</v>
      </c>
      <c r="Q70" t="s">
        <v>38</v>
      </c>
      <c r="R70" t="s">
        <v>200</v>
      </c>
      <c r="S70" s="4">
        <v>23</v>
      </c>
      <c r="T70" s="3">
        <v>62858.744347826083</v>
      </c>
      <c r="U70" s="3">
        <v>33111.266086956522</v>
      </c>
      <c r="V70" s="3">
        <v>29747.478260869564</v>
      </c>
      <c r="W70" s="3">
        <v>62858.744347826083</v>
      </c>
      <c r="X70" t="s">
        <v>68</v>
      </c>
      <c r="Y70" t="s">
        <v>69</v>
      </c>
      <c r="Z70" t="s">
        <v>43</v>
      </c>
      <c r="AA70" t="s">
        <v>44</v>
      </c>
      <c r="AB70" t="s">
        <v>45</v>
      </c>
      <c r="AC70" t="s">
        <v>46</v>
      </c>
      <c r="AD70" s="5">
        <v>0</v>
      </c>
      <c r="AE70" s="5">
        <v>0</v>
      </c>
    </row>
    <row r="71" spans="1:31" x14ac:dyDescent="0.2">
      <c r="A71">
        <v>4600058748</v>
      </c>
      <c r="C71" s="2"/>
      <c r="D71" t="s">
        <v>31</v>
      </c>
      <c r="E71">
        <v>3000000</v>
      </c>
      <c r="F71" t="s">
        <v>247</v>
      </c>
      <c r="G71" t="s">
        <v>248</v>
      </c>
      <c r="H71" s="2">
        <v>45079</v>
      </c>
      <c r="I71" s="2">
        <v>46174</v>
      </c>
      <c r="J71" s="3">
        <v>188504</v>
      </c>
      <c r="K71" s="3">
        <v>69252</v>
      </c>
      <c r="L71" s="3">
        <v>119252</v>
      </c>
      <c r="M71" t="s">
        <v>34</v>
      </c>
      <c r="N71" t="s">
        <v>128</v>
      </c>
      <c r="O71" t="s">
        <v>36</v>
      </c>
      <c r="P71" t="s">
        <v>153</v>
      </c>
      <c r="Q71" t="s">
        <v>38</v>
      </c>
      <c r="R71" t="s">
        <v>52</v>
      </c>
      <c r="S71" s="4">
        <v>36</v>
      </c>
      <c r="T71" s="3">
        <v>62834.666666666664</v>
      </c>
      <c r="U71" s="3">
        <v>23084</v>
      </c>
      <c r="V71" s="3">
        <v>39750.666666666664</v>
      </c>
      <c r="W71" s="3">
        <v>62834.666666666664</v>
      </c>
      <c r="X71" t="s">
        <v>68</v>
      </c>
      <c r="Y71" t="s">
        <v>69</v>
      </c>
      <c r="Z71" t="s">
        <v>43</v>
      </c>
      <c r="AA71" t="s">
        <v>44</v>
      </c>
      <c r="AB71" t="s">
        <v>45</v>
      </c>
      <c r="AC71" t="s">
        <v>46</v>
      </c>
      <c r="AD71" s="5">
        <v>0</v>
      </c>
      <c r="AE71" s="5">
        <v>0</v>
      </c>
    </row>
    <row r="72" spans="1:31" x14ac:dyDescent="0.2">
      <c r="A72">
        <v>4600058780</v>
      </c>
      <c r="C72" s="2"/>
      <c r="D72" t="s">
        <v>31</v>
      </c>
      <c r="E72">
        <v>3027294</v>
      </c>
      <c r="F72" t="s">
        <v>249</v>
      </c>
      <c r="G72" t="s">
        <v>250</v>
      </c>
      <c r="H72" s="2">
        <v>45392</v>
      </c>
      <c r="I72" s="2">
        <v>46143</v>
      </c>
      <c r="J72" s="3">
        <v>122141.74</v>
      </c>
      <c r="K72" s="3">
        <v>104161</v>
      </c>
      <c r="L72" s="3">
        <v>17980.740000000002</v>
      </c>
      <c r="M72" t="s">
        <v>58</v>
      </c>
      <c r="N72" t="s">
        <v>59</v>
      </c>
      <c r="O72" t="s">
        <v>60</v>
      </c>
      <c r="P72" t="s">
        <v>61</v>
      </c>
      <c r="Q72" t="s">
        <v>38</v>
      </c>
      <c r="R72" t="s">
        <v>251</v>
      </c>
      <c r="S72" s="4">
        <v>25</v>
      </c>
      <c r="T72" s="3">
        <v>58628.035200000006</v>
      </c>
      <c r="U72" s="3">
        <v>49997.279999999999</v>
      </c>
      <c r="V72" s="3">
        <v>8630.7551999999996</v>
      </c>
      <c r="W72" s="3">
        <v>58628.035199999998</v>
      </c>
      <c r="X72" t="s">
        <v>68</v>
      </c>
      <c r="Y72" t="s">
        <v>69</v>
      </c>
      <c r="Z72" t="s">
        <v>43</v>
      </c>
      <c r="AA72" t="s">
        <v>44</v>
      </c>
      <c r="AB72" t="s">
        <v>45</v>
      </c>
      <c r="AC72" t="s">
        <v>46</v>
      </c>
      <c r="AD72" s="5">
        <v>0</v>
      </c>
      <c r="AE72" s="5">
        <v>0</v>
      </c>
    </row>
    <row r="73" spans="1:31" x14ac:dyDescent="0.2">
      <c r="A73">
        <v>4600058695</v>
      </c>
      <c r="C73" s="2"/>
      <c r="D73" t="s">
        <v>31</v>
      </c>
      <c r="E73">
        <v>1003954</v>
      </c>
      <c r="F73" t="s">
        <v>252</v>
      </c>
      <c r="G73" t="s">
        <v>253</v>
      </c>
      <c r="H73" s="2">
        <v>44433</v>
      </c>
      <c r="I73" s="2">
        <v>46234</v>
      </c>
      <c r="J73" s="3">
        <v>265303.13</v>
      </c>
      <c r="K73" s="3">
        <v>0</v>
      </c>
      <c r="L73" s="3">
        <v>265303.13</v>
      </c>
      <c r="M73" t="s">
        <v>184</v>
      </c>
      <c r="N73" t="s">
        <v>185</v>
      </c>
      <c r="O73" t="s">
        <v>186</v>
      </c>
      <c r="P73" t="s">
        <v>254</v>
      </c>
      <c r="Q73" t="s">
        <v>38</v>
      </c>
      <c r="R73" t="s">
        <v>251</v>
      </c>
      <c r="S73" s="4">
        <v>59</v>
      </c>
      <c r="T73" s="3">
        <v>53959.958644067796</v>
      </c>
      <c r="U73" s="3">
        <v>0</v>
      </c>
      <c r="V73" s="3">
        <v>53959.958644067796</v>
      </c>
      <c r="W73" s="3">
        <v>53959.958644067796</v>
      </c>
      <c r="X73" t="s">
        <v>118</v>
      </c>
      <c r="Y73" t="s">
        <v>119</v>
      </c>
      <c r="Z73" t="s">
        <v>43</v>
      </c>
      <c r="AA73" t="s">
        <v>44</v>
      </c>
      <c r="AB73" t="s">
        <v>45</v>
      </c>
      <c r="AC73" t="s">
        <v>46</v>
      </c>
      <c r="AD73" s="5">
        <v>0</v>
      </c>
      <c r="AE73" s="5">
        <v>0</v>
      </c>
    </row>
    <row r="74" spans="1:31" x14ac:dyDescent="0.2">
      <c r="A74">
        <v>4600059530</v>
      </c>
      <c r="C74" s="2"/>
      <c r="D74" t="s">
        <v>31</v>
      </c>
      <c r="E74">
        <v>3047206</v>
      </c>
      <c r="F74" t="s">
        <v>255</v>
      </c>
      <c r="G74" t="s">
        <v>256</v>
      </c>
      <c r="H74" s="2">
        <v>45693</v>
      </c>
      <c r="I74" s="2">
        <v>46057</v>
      </c>
      <c r="J74" s="3">
        <v>50000</v>
      </c>
      <c r="K74" s="3">
        <v>0</v>
      </c>
      <c r="L74" s="3">
        <v>50000</v>
      </c>
      <c r="M74" t="s">
        <v>217</v>
      </c>
      <c r="N74" t="s">
        <v>218</v>
      </c>
      <c r="O74" t="s">
        <v>219</v>
      </c>
      <c r="P74" t="s">
        <v>220</v>
      </c>
      <c r="Q74" t="s">
        <v>38</v>
      </c>
      <c r="R74" t="s">
        <v>130</v>
      </c>
      <c r="S74" s="4">
        <v>12</v>
      </c>
      <c r="T74" s="3">
        <v>50000</v>
      </c>
      <c r="U74" s="3">
        <v>0</v>
      </c>
      <c r="V74" s="3">
        <v>50000</v>
      </c>
      <c r="W74" s="3">
        <v>50000</v>
      </c>
      <c r="X74" t="s">
        <v>68</v>
      </c>
      <c r="Y74" t="s">
        <v>69</v>
      </c>
      <c r="Z74" t="s">
        <v>31</v>
      </c>
      <c r="AA74" t="s">
        <v>44</v>
      </c>
      <c r="AB74" t="s">
        <v>45</v>
      </c>
      <c r="AC74" t="s">
        <v>46</v>
      </c>
      <c r="AD74" s="5">
        <v>0</v>
      </c>
      <c r="AE74" s="5">
        <v>0</v>
      </c>
    </row>
    <row r="75" spans="1:31" x14ac:dyDescent="0.2">
      <c r="A75">
        <v>4600058650</v>
      </c>
      <c r="C75" s="2"/>
      <c r="D75" t="s">
        <v>31</v>
      </c>
      <c r="E75">
        <v>101745</v>
      </c>
      <c r="F75" t="s">
        <v>56</v>
      </c>
      <c r="G75" t="s">
        <v>257</v>
      </c>
      <c r="H75" s="2">
        <v>43854</v>
      </c>
      <c r="I75" s="2">
        <v>46069</v>
      </c>
      <c r="J75" s="3">
        <v>288274.75</v>
      </c>
      <c r="K75" s="3">
        <v>288274.75</v>
      </c>
      <c r="L75" s="3">
        <v>0</v>
      </c>
      <c r="M75" t="s">
        <v>58</v>
      </c>
      <c r="N75" t="s">
        <v>59</v>
      </c>
      <c r="O75" t="s">
        <v>60</v>
      </c>
      <c r="P75" t="s">
        <v>66</v>
      </c>
      <c r="Q75" t="s">
        <v>38</v>
      </c>
      <c r="R75" t="s">
        <v>86</v>
      </c>
      <c r="S75" s="4">
        <v>73</v>
      </c>
      <c r="T75" s="3">
        <v>47387.630136986299</v>
      </c>
      <c r="U75" s="3">
        <v>47387.630136986299</v>
      </c>
      <c r="V75" s="3">
        <v>0</v>
      </c>
      <c r="W75" s="3">
        <v>47387.630136986299</v>
      </c>
      <c r="X75" t="s">
        <v>68</v>
      </c>
      <c r="Y75" t="s">
        <v>69</v>
      </c>
      <c r="Z75" t="s">
        <v>43</v>
      </c>
      <c r="AA75" t="s">
        <v>44</v>
      </c>
      <c r="AB75" t="s">
        <v>45</v>
      </c>
      <c r="AC75" t="s">
        <v>46</v>
      </c>
      <c r="AD75" s="5">
        <v>0</v>
      </c>
      <c r="AE75" s="5">
        <v>0</v>
      </c>
    </row>
    <row r="76" spans="1:31" x14ac:dyDescent="0.2">
      <c r="A76">
        <v>4600058654</v>
      </c>
      <c r="C76" s="2">
        <v>46036</v>
      </c>
      <c r="D76" t="s">
        <v>31</v>
      </c>
      <c r="E76">
        <v>3036329</v>
      </c>
      <c r="F76" t="s">
        <v>258</v>
      </c>
      <c r="G76" t="s">
        <v>259</v>
      </c>
      <c r="H76" s="2">
        <v>44007</v>
      </c>
      <c r="I76" s="2">
        <v>46197</v>
      </c>
      <c r="J76" s="3">
        <v>270592.12</v>
      </c>
      <c r="K76" s="3">
        <v>175104.8</v>
      </c>
      <c r="L76" s="3">
        <v>95487.32</v>
      </c>
      <c r="M76" t="s">
        <v>184</v>
      </c>
      <c r="N76" t="s">
        <v>235</v>
      </c>
      <c r="O76" t="s">
        <v>186</v>
      </c>
      <c r="P76" t="s">
        <v>260</v>
      </c>
      <c r="Q76" t="s">
        <v>38</v>
      </c>
      <c r="R76" t="s">
        <v>52</v>
      </c>
      <c r="S76" s="4">
        <v>72</v>
      </c>
      <c r="T76" s="3">
        <v>45098.686666666668</v>
      </c>
      <c r="U76" s="3">
        <v>29184.133333333328</v>
      </c>
      <c r="V76" s="3">
        <v>15914.553333333335</v>
      </c>
      <c r="W76" s="3">
        <v>45098.686666666661</v>
      </c>
      <c r="X76" t="s">
        <v>87</v>
      </c>
      <c r="Y76" t="s">
        <v>88</v>
      </c>
      <c r="Z76" t="s">
        <v>43</v>
      </c>
      <c r="AA76" t="s">
        <v>44</v>
      </c>
      <c r="AB76" t="s">
        <v>45</v>
      </c>
      <c r="AC76" t="s">
        <v>55</v>
      </c>
      <c r="AD76" s="5">
        <v>0</v>
      </c>
      <c r="AE76" s="5">
        <v>1</v>
      </c>
    </row>
    <row r="77" spans="1:31" x14ac:dyDescent="0.2">
      <c r="A77">
        <v>4600058785</v>
      </c>
      <c r="C77" s="2"/>
      <c r="D77" t="s">
        <v>31</v>
      </c>
      <c r="E77">
        <v>3045619</v>
      </c>
      <c r="F77" t="s">
        <v>261</v>
      </c>
      <c r="G77" t="s">
        <v>262</v>
      </c>
      <c r="H77" s="2">
        <v>45478</v>
      </c>
      <c r="I77" s="2">
        <v>46207</v>
      </c>
      <c r="J77" s="3">
        <v>87020</v>
      </c>
      <c r="K77" s="3">
        <v>14502</v>
      </c>
      <c r="L77" s="3">
        <v>72518</v>
      </c>
      <c r="M77" t="s">
        <v>34</v>
      </c>
      <c r="N77" t="s">
        <v>128</v>
      </c>
      <c r="O77" t="s">
        <v>36</v>
      </c>
      <c r="P77" t="s">
        <v>129</v>
      </c>
      <c r="Q77" t="s">
        <v>38</v>
      </c>
      <c r="R77" t="s">
        <v>147</v>
      </c>
      <c r="S77" s="4">
        <v>24</v>
      </c>
      <c r="T77" s="3">
        <v>43510</v>
      </c>
      <c r="U77" s="3">
        <v>7251</v>
      </c>
      <c r="V77" s="3">
        <v>36259</v>
      </c>
      <c r="W77" s="3">
        <v>43510</v>
      </c>
      <c r="X77" t="s">
        <v>87</v>
      </c>
      <c r="Y77" t="s">
        <v>88</v>
      </c>
      <c r="Z77" t="s">
        <v>43</v>
      </c>
      <c r="AA77" t="s">
        <v>44</v>
      </c>
      <c r="AB77" t="s">
        <v>45</v>
      </c>
      <c r="AC77" t="s">
        <v>46</v>
      </c>
      <c r="AD77" s="5">
        <v>0</v>
      </c>
      <c r="AE77" s="5">
        <v>0</v>
      </c>
    </row>
    <row r="78" spans="1:31" x14ac:dyDescent="0.2">
      <c r="A78">
        <v>4600058623</v>
      </c>
      <c r="C78" s="2"/>
      <c r="D78" t="s">
        <v>31</v>
      </c>
      <c r="E78">
        <v>186642</v>
      </c>
      <c r="F78" t="s">
        <v>263</v>
      </c>
      <c r="G78" t="s">
        <v>264</v>
      </c>
      <c r="H78" s="2">
        <v>42331</v>
      </c>
      <c r="I78" s="2">
        <v>46185</v>
      </c>
      <c r="J78" s="3">
        <v>297144.45</v>
      </c>
      <c r="K78" s="3">
        <v>0</v>
      </c>
      <c r="L78" s="3">
        <v>297144.45</v>
      </c>
      <c r="M78" t="s">
        <v>34</v>
      </c>
      <c r="N78" t="s">
        <v>128</v>
      </c>
      <c r="O78" t="s">
        <v>36</v>
      </c>
      <c r="P78" t="s">
        <v>265</v>
      </c>
      <c r="Q78" t="s">
        <v>38</v>
      </c>
      <c r="R78" t="s">
        <v>86</v>
      </c>
      <c r="S78" s="4">
        <v>127</v>
      </c>
      <c r="T78" s="3">
        <v>28076.640944881892</v>
      </c>
      <c r="U78" s="3">
        <v>0</v>
      </c>
      <c r="V78" s="3">
        <v>28076.640944881892</v>
      </c>
      <c r="W78" s="3">
        <v>28076.640944881892</v>
      </c>
      <c r="X78" t="s">
        <v>82</v>
      </c>
      <c r="Y78" t="s">
        <v>83</v>
      </c>
      <c r="Z78" t="s">
        <v>43</v>
      </c>
      <c r="AA78" t="s">
        <v>44</v>
      </c>
      <c r="AB78" t="s">
        <v>45</v>
      </c>
      <c r="AC78" t="s">
        <v>46</v>
      </c>
      <c r="AD78" s="5">
        <v>0</v>
      </c>
      <c r="AE78" s="5">
        <v>0</v>
      </c>
    </row>
    <row r="79" spans="1:31" x14ac:dyDescent="0.2">
      <c r="A79">
        <v>4600058628</v>
      </c>
      <c r="C79" s="2"/>
      <c r="D79" t="s">
        <v>31</v>
      </c>
      <c r="E79">
        <v>116526</v>
      </c>
      <c r="F79" t="s">
        <v>266</v>
      </c>
      <c r="G79" t="s">
        <v>267</v>
      </c>
      <c r="H79" s="2">
        <v>44711</v>
      </c>
      <c r="I79" s="2">
        <v>46083</v>
      </c>
      <c r="J79" s="3">
        <v>77378.009999999995</v>
      </c>
      <c r="K79" s="3">
        <v>77378</v>
      </c>
      <c r="L79" s="3">
        <v>0.01</v>
      </c>
      <c r="M79" t="s">
        <v>34</v>
      </c>
      <c r="N79" t="s">
        <v>128</v>
      </c>
      <c r="O79" t="s">
        <v>36</v>
      </c>
      <c r="P79" t="s">
        <v>129</v>
      </c>
      <c r="Q79" t="s">
        <v>67</v>
      </c>
      <c r="R79" t="s">
        <v>133</v>
      </c>
      <c r="S79" s="4">
        <v>46</v>
      </c>
      <c r="T79" s="3">
        <v>20185.567826086954</v>
      </c>
      <c r="U79" s="3">
        <v>20185.565217391304</v>
      </c>
      <c r="V79" s="3">
        <v>2.6086956521739128E-3</v>
      </c>
      <c r="W79" s="3">
        <v>20185.567826086957</v>
      </c>
      <c r="X79" t="s">
        <v>87</v>
      </c>
      <c r="Y79" t="s">
        <v>88</v>
      </c>
      <c r="Z79" t="s">
        <v>43</v>
      </c>
      <c r="AA79" t="s">
        <v>70</v>
      </c>
      <c r="AB79" t="s">
        <v>45</v>
      </c>
      <c r="AC79" t="s">
        <v>46</v>
      </c>
      <c r="AD79" s="5">
        <v>0</v>
      </c>
      <c r="AE79" s="5">
        <v>0</v>
      </c>
    </row>
    <row r="80" spans="1:31" x14ac:dyDescent="0.2">
      <c r="A80">
        <v>4600058757</v>
      </c>
      <c r="C80" s="2"/>
      <c r="D80" t="s">
        <v>31</v>
      </c>
      <c r="E80">
        <v>186642</v>
      </c>
      <c r="F80" t="s">
        <v>263</v>
      </c>
      <c r="G80" t="s">
        <v>268</v>
      </c>
      <c r="H80" s="2">
        <v>45121</v>
      </c>
      <c r="I80" s="2">
        <v>46313</v>
      </c>
      <c r="J80" s="3">
        <v>58725.96</v>
      </c>
      <c r="K80" s="3">
        <v>58725.96</v>
      </c>
      <c r="L80" s="3">
        <v>0</v>
      </c>
      <c r="M80" t="s">
        <v>34</v>
      </c>
      <c r="N80" t="s">
        <v>128</v>
      </c>
      <c r="O80" t="s">
        <v>36</v>
      </c>
      <c r="P80" t="s">
        <v>265</v>
      </c>
      <c r="Q80" t="s">
        <v>38</v>
      </c>
      <c r="R80" t="s">
        <v>147</v>
      </c>
      <c r="S80" s="4">
        <v>39</v>
      </c>
      <c r="T80" s="3">
        <v>18069.526153846153</v>
      </c>
      <c r="U80" s="3">
        <v>18069.526153846153</v>
      </c>
      <c r="V80" s="3">
        <v>0</v>
      </c>
      <c r="W80" s="3">
        <v>18069.526153846153</v>
      </c>
      <c r="X80" t="s">
        <v>87</v>
      </c>
      <c r="Y80" t="s">
        <v>88</v>
      </c>
      <c r="Z80" t="s">
        <v>43</v>
      </c>
      <c r="AA80" t="s">
        <v>44</v>
      </c>
      <c r="AB80" t="s">
        <v>45</v>
      </c>
      <c r="AC80" t="s">
        <v>46</v>
      </c>
      <c r="AD80" s="5">
        <v>0</v>
      </c>
      <c r="AE80" s="5">
        <v>0</v>
      </c>
    </row>
    <row r="81" spans="1:31" x14ac:dyDescent="0.2">
      <c r="A81">
        <v>4600058670</v>
      </c>
      <c r="C81" s="2">
        <v>45635</v>
      </c>
      <c r="D81" t="s">
        <v>31</v>
      </c>
      <c r="E81">
        <v>3036557</v>
      </c>
      <c r="F81" t="s">
        <v>247</v>
      </c>
      <c r="G81" t="s">
        <v>269</v>
      </c>
      <c r="H81" s="2">
        <v>44228</v>
      </c>
      <c r="I81" s="2">
        <v>46053</v>
      </c>
      <c r="J81" s="3">
        <v>87513.47</v>
      </c>
      <c r="K81" s="3">
        <v>87513.47</v>
      </c>
      <c r="L81" s="3">
        <v>0</v>
      </c>
      <c r="M81" t="s">
        <v>34</v>
      </c>
      <c r="N81" t="s">
        <v>128</v>
      </c>
      <c r="O81" t="s">
        <v>36</v>
      </c>
      <c r="P81" t="s">
        <v>153</v>
      </c>
      <c r="Q81" t="s">
        <v>38</v>
      </c>
      <c r="S81" s="4">
        <v>59</v>
      </c>
      <c r="T81" s="3">
        <v>17799.349830508476</v>
      </c>
      <c r="U81" s="3">
        <v>17799.349830508476</v>
      </c>
      <c r="V81" s="3">
        <v>0</v>
      </c>
      <c r="W81" s="3">
        <v>17799.349830508476</v>
      </c>
      <c r="X81" t="s">
        <v>68</v>
      </c>
      <c r="Y81" t="s">
        <v>69</v>
      </c>
      <c r="Z81" t="s">
        <v>43</v>
      </c>
      <c r="AA81" t="s">
        <v>44</v>
      </c>
      <c r="AB81" t="s">
        <v>45</v>
      </c>
      <c r="AC81" t="s">
        <v>55</v>
      </c>
      <c r="AD81" s="5">
        <v>0</v>
      </c>
      <c r="AE81" s="5">
        <v>1</v>
      </c>
    </row>
    <row r="82" spans="1:31" x14ac:dyDescent="0.2">
      <c r="A82">
        <v>4600058660</v>
      </c>
      <c r="C82" s="2"/>
      <c r="D82" t="s">
        <v>31</v>
      </c>
      <c r="E82">
        <v>3036633</v>
      </c>
      <c r="F82" t="s">
        <v>270</v>
      </c>
      <c r="G82" t="s">
        <v>271</v>
      </c>
      <c r="H82" s="2">
        <v>44099</v>
      </c>
      <c r="I82" s="2">
        <v>46289</v>
      </c>
      <c r="J82" s="3">
        <v>99971.1</v>
      </c>
      <c r="K82" s="3">
        <v>60828.959999999999</v>
      </c>
      <c r="L82" s="3">
        <v>39142.14</v>
      </c>
      <c r="M82" t="s">
        <v>184</v>
      </c>
      <c r="N82" t="s">
        <v>235</v>
      </c>
      <c r="O82" t="s">
        <v>186</v>
      </c>
      <c r="P82" t="s">
        <v>236</v>
      </c>
      <c r="Q82" t="s">
        <v>38</v>
      </c>
      <c r="R82" t="s">
        <v>251</v>
      </c>
      <c r="S82" s="4">
        <v>72</v>
      </c>
      <c r="T82" s="3">
        <v>16661.850000000002</v>
      </c>
      <c r="U82" s="3">
        <v>10138.16</v>
      </c>
      <c r="V82" s="3">
        <v>6523.69</v>
      </c>
      <c r="W82" s="3">
        <v>16661.849999999999</v>
      </c>
      <c r="X82" t="s">
        <v>68</v>
      </c>
      <c r="Y82" t="s">
        <v>69</v>
      </c>
      <c r="Z82" t="s">
        <v>43</v>
      </c>
      <c r="AA82" t="s">
        <v>44</v>
      </c>
      <c r="AB82" t="s">
        <v>45</v>
      </c>
      <c r="AC82" t="s">
        <v>46</v>
      </c>
      <c r="AD82" s="5">
        <v>0</v>
      </c>
      <c r="AE82" s="5">
        <v>0</v>
      </c>
    </row>
    <row r="83" spans="1:31" x14ac:dyDescent="0.2">
      <c r="A83">
        <v>4600058745</v>
      </c>
      <c r="C83" s="2"/>
      <c r="D83" t="s">
        <v>31</v>
      </c>
      <c r="E83">
        <v>3040242</v>
      </c>
      <c r="F83" t="s">
        <v>272</v>
      </c>
      <c r="G83" t="s">
        <v>273</v>
      </c>
      <c r="H83" s="2">
        <v>43892</v>
      </c>
      <c r="I83" s="2">
        <v>46538</v>
      </c>
      <c r="J83" s="3">
        <v>102379.25</v>
      </c>
      <c r="K83" s="3">
        <v>6840</v>
      </c>
      <c r="L83" s="3">
        <v>95539.25</v>
      </c>
      <c r="M83" t="s">
        <v>184</v>
      </c>
      <c r="N83" t="s">
        <v>235</v>
      </c>
      <c r="O83" t="s">
        <v>186</v>
      </c>
      <c r="P83" t="s">
        <v>236</v>
      </c>
      <c r="Q83" t="s">
        <v>38</v>
      </c>
      <c r="R83" t="s">
        <v>130</v>
      </c>
      <c r="S83" s="4">
        <v>86</v>
      </c>
      <c r="T83" s="3">
        <v>14285.476744186046</v>
      </c>
      <c r="U83" s="3">
        <v>954.41860465116281</v>
      </c>
      <c r="V83" s="3">
        <v>13331.058139534884</v>
      </c>
      <c r="W83" s="3">
        <v>14285.476744186046</v>
      </c>
      <c r="X83" t="s">
        <v>68</v>
      </c>
      <c r="Y83" t="s">
        <v>69</v>
      </c>
      <c r="Z83" t="s">
        <v>43</v>
      </c>
      <c r="AA83" t="s">
        <v>44</v>
      </c>
      <c r="AB83" t="s">
        <v>45</v>
      </c>
      <c r="AC83" t="s">
        <v>46</v>
      </c>
      <c r="AD83" s="5">
        <v>0</v>
      </c>
      <c r="AE83" s="5">
        <v>0</v>
      </c>
    </row>
    <row r="84" spans="1:31" x14ac:dyDescent="0.2">
      <c r="A84">
        <v>4600058753</v>
      </c>
      <c r="C84" s="2"/>
      <c r="D84" t="s">
        <v>31</v>
      </c>
      <c r="E84">
        <v>146625</v>
      </c>
      <c r="F84" t="s">
        <v>274</v>
      </c>
      <c r="G84" t="s">
        <v>275</v>
      </c>
      <c r="H84" s="2">
        <v>45149</v>
      </c>
      <c r="I84" s="2">
        <v>46244</v>
      </c>
      <c r="J84" s="3">
        <v>14024.25</v>
      </c>
      <c r="K84" s="3">
        <v>2924.09</v>
      </c>
      <c r="L84" s="3">
        <v>11100.16</v>
      </c>
      <c r="M84" t="s">
        <v>184</v>
      </c>
      <c r="N84" t="s">
        <v>235</v>
      </c>
      <c r="O84" t="s">
        <v>186</v>
      </c>
      <c r="P84" t="s">
        <v>260</v>
      </c>
      <c r="Q84" t="s">
        <v>38</v>
      </c>
      <c r="R84" t="s">
        <v>52</v>
      </c>
      <c r="S84" s="4">
        <v>36</v>
      </c>
      <c r="T84" s="3">
        <v>4674.75</v>
      </c>
      <c r="U84" s="3">
        <v>974.69666666666672</v>
      </c>
      <c r="V84" s="3">
        <v>3700.0533333333328</v>
      </c>
      <c r="W84" s="3">
        <v>4674.75</v>
      </c>
      <c r="X84" t="s">
        <v>53</v>
      </c>
      <c r="Y84" t="s">
        <v>54</v>
      </c>
      <c r="Z84" t="s">
        <v>43</v>
      </c>
      <c r="AA84" t="s">
        <v>44</v>
      </c>
      <c r="AB84" t="s">
        <v>45</v>
      </c>
      <c r="AC84" t="s">
        <v>46</v>
      </c>
      <c r="AD84" s="5">
        <v>0</v>
      </c>
      <c r="AE84" s="5">
        <v>0</v>
      </c>
    </row>
    <row r="85" spans="1:31" x14ac:dyDescent="0.2">
      <c r="A85">
        <v>4600058609</v>
      </c>
      <c r="C85" s="2"/>
      <c r="D85" t="s">
        <v>31</v>
      </c>
      <c r="E85">
        <v>151114</v>
      </c>
      <c r="F85" t="s">
        <v>276</v>
      </c>
      <c r="G85" t="s">
        <v>277</v>
      </c>
      <c r="H85" s="2">
        <v>45125</v>
      </c>
      <c r="I85" s="2">
        <v>46066</v>
      </c>
      <c r="J85" s="3">
        <v>5137.42</v>
      </c>
      <c r="K85" s="3">
        <v>5137.42</v>
      </c>
      <c r="L85" s="3">
        <v>0</v>
      </c>
      <c r="M85" t="s">
        <v>34</v>
      </c>
      <c r="N85" t="s">
        <v>128</v>
      </c>
      <c r="O85" t="s">
        <v>36</v>
      </c>
      <c r="P85" t="s">
        <v>129</v>
      </c>
      <c r="Q85" t="s">
        <v>38</v>
      </c>
      <c r="R85" t="s">
        <v>278</v>
      </c>
      <c r="S85" s="4">
        <v>31</v>
      </c>
      <c r="T85" s="3">
        <v>1988.6787096774194</v>
      </c>
      <c r="U85" s="3">
        <v>1988.6787096774194</v>
      </c>
      <c r="V85" s="3">
        <v>0</v>
      </c>
      <c r="W85" s="3">
        <v>1988.6787096774194</v>
      </c>
      <c r="X85" t="s">
        <v>87</v>
      </c>
      <c r="Y85" t="s">
        <v>88</v>
      </c>
      <c r="Z85" t="s">
        <v>43</v>
      </c>
      <c r="AA85" t="s">
        <v>44</v>
      </c>
      <c r="AB85" t="s">
        <v>45</v>
      </c>
      <c r="AC85" t="s">
        <v>46</v>
      </c>
      <c r="AD85" s="5">
        <v>0</v>
      </c>
      <c r="AE85" s="5">
        <v>0</v>
      </c>
    </row>
    <row r="86" spans="1:31" x14ac:dyDescent="0.2">
      <c r="A86">
        <v>4600058596</v>
      </c>
      <c r="C86" s="2"/>
      <c r="D86" t="s">
        <v>31</v>
      </c>
      <c r="E86">
        <v>113269</v>
      </c>
      <c r="F86" t="s">
        <v>279</v>
      </c>
      <c r="G86" t="s">
        <v>280</v>
      </c>
      <c r="H86" s="2">
        <v>40179</v>
      </c>
      <c r="I86" s="2">
        <v>46521</v>
      </c>
      <c r="J86" s="3">
        <v>22500</v>
      </c>
      <c r="K86" s="3">
        <v>0</v>
      </c>
      <c r="L86" s="3">
        <v>22500</v>
      </c>
      <c r="M86" t="s">
        <v>58</v>
      </c>
      <c r="N86" t="s">
        <v>151</v>
      </c>
      <c r="O86" t="s">
        <v>60</v>
      </c>
      <c r="P86" t="s">
        <v>177</v>
      </c>
      <c r="Q86" t="s">
        <v>38</v>
      </c>
      <c r="R86" t="s">
        <v>106</v>
      </c>
      <c r="S86" s="4">
        <v>208</v>
      </c>
      <c r="T86" s="3">
        <v>1298.0769230769231</v>
      </c>
      <c r="U86" s="3">
        <v>0</v>
      </c>
      <c r="V86" s="3">
        <v>1298.0769230769231</v>
      </c>
      <c r="W86" s="3">
        <v>1298.0769230769231</v>
      </c>
      <c r="X86" t="s">
        <v>118</v>
      </c>
      <c r="Y86" t="s">
        <v>119</v>
      </c>
      <c r="Z86" t="s">
        <v>43</v>
      </c>
      <c r="AA86" t="s">
        <v>44</v>
      </c>
      <c r="AB86" t="s">
        <v>45</v>
      </c>
      <c r="AC86" t="s">
        <v>46</v>
      </c>
      <c r="AD86" s="5">
        <v>0</v>
      </c>
      <c r="AE86" s="5">
        <v>0</v>
      </c>
    </row>
    <row r="87" spans="1:31" x14ac:dyDescent="0.2">
      <c r="A87">
        <v>4600059168</v>
      </c>
      <c r="C87" s="2"/>
      <c r="D87" t="s">
        <v>31</v>
      </c>
      <c r="E87">
        <v>109395</v>
      </c>
      <c r="F87" t="s">
        <v>281</v>
      </c>
      <c r="G87" t="s">
        <v>282</v>
      </c>
      <c r="H87" s="2">
        <v>45627</v>
      </c>
      <c r="I87" s="2">
        <v>46357</v>
      </c>
      <c r="J87" s="3">
        <v>0.01</v>
      </c>
      <c r="K87" s="3">
        <v>0</v>
      </c>
      <c r="L87" s="3">
        <v>0.01</v>
      </c>
      <c r="M87" t="s">
        <v>184</v>
      </c>
      <c r="N87" t="s">
        <v>185</v>
      </c>
      <c r="O87" t="s">
        <v>186</v>
      </c>
      <c r="P87" t="s">
        <v>254</v>
      </c>
      <c r="Q87" t="s">
        <v>38</v>
      </c>
      <c r="R87" t="s">
        <v>40</v>
      </c>
      <c r="S87" s="4">
        <v>24</v>
      </c>
      <c r="T87" s="3">
        <v>5.0000000000000001E-3</v>
      </c>
      <c r="U87" s="3">
        <v>0</v>
      </c>
      <c r="V87" s="3">
        <v>5.0000000000000001E-3</v>
      </c>
      <c r="W87" s="3">
        <v>5.0000000000000001E-3</v>
      </c>
      <c r="X87" t="s">
        <v>41</v>
      </c>
      <c r="Y87" t="s">
        <v>42</v>
      </c>
      <c r="Z87" t="s">
        <v>43</v>
      </c>
      <c r="AA87" t="s">
        <v>44</v>
      </c>
      <c r="AB87" t="s">
        <v>45</v>
      </c>
      <c r="AC87" t="s">
        <v>46</v>
      </c>
      <c r="AD87" s="5">
        <v>0</v>
      </c>
      <c r="AE87" s="5">
        <v>0</v>
      </c>
    </row>
    <row r="88" spans="1:31" x14ac:dyDescent="0.2">
      <c r="A88">
        <v>4600058759</v>
      </c>
      <c r="C88" s="2"/>
      <c r="D88" t="s">
        <v>31</v>
      </c>
      <c r="E88">
        <v>3035927</v>
      </c>
      <c r="F88" t="s">
        <v>283</v>
      </c>
      <c r="G88" t="s">
        <v>284</v>
      </c>
      <c r="H88" s="2">
        <v>45170</v>
      </c>
      <c r="I88" s="2">
        <v>46265</v>
      </c>
      <c r="J88" s="3">
        <v>0.01</v>
      </c>
      <c r="K88" s="3">
        <v>0</v>
      </c>
      <c r="L88" s="3">
        <v>0.01</v>
      </c>
      <c r="M88" t="s">
        <v>184</v>
      </c>
      <c r="N88" t="s">
        <v>185</v>
      </c>
      <c r="O88" t="s">
        <v>186</v>
      </c>
      <c r="P88" t="s">
        <v>254</v>
      </c>
      <c r="Q88" t="s">
        <v>38</v>
      </c>
      <c r="R88" t="s">
        <v>251</v>
      </c>
      <c r="S88" s="4">
        <v>35</v>
      </c>
      <c r="T88" s="3">
        <v>3.4285714285714284E-3</v>
      </c>
      <c r="U88" s="3">
        <v>0</v>
      </c>
      <c r="V88" s="3">
        <v>3.4285714285714284E-3</v>
      </c>
      <c r="W88" s="3">
        <v>3.4285714285714284E-3</v>
      </c>
      <c r="X88" t="s">
        <v>285</v>
      </c>
      <c r="Y88" t="s">
        <v>286</v>
      </c>
      <c r="Z88" t="s">
        <v>43</v>
      </c>
      <c r="AA88" t="s">
        <v>44</v>
      </c>
      <c r="AB88" t="s">
        <v>45</v>
      </c>
      <c r="AC88" t="s">
        <v>46</v>
      </c>
      <c r="AD88" s="5">
        <v>0</v>
      </c>
      <c r="AE88" s="5">
        <v>0</v>
      </c>
    </row>
    <row r="89" spans="1:31" x14ac:dyDescent="0.2">
      <c r="A89">
        <v>4600058674</v>
      </c>
      <c r="C89" s="2"/>
      <c r="D89" t="s">
        <v>31</v>
      </c>
      <c r="E89">
        <v>131461</v>
      </c>
      <c r="F89" t="s">
        <v>92</v>
      </c>
      <c r="G89" t="s">
        <v>287</v>
      </c>
      <c r="H89" s="2">
        <v>44337</v>
      </c>
      <c r="I89" s="2">
        <v>46157</v>
      </c>
      <c r="J89" s="3">
        <v>0.01</v>
      </c>
      <c r="K89" s="3">
        <v>0</v>
      </c>
      <c r="L89" s="3">
        <v>0.01</v>
      </c>
      <c r="M89" t="s">
        <v>243</v>
      </c>
      <c r="N89" t="s">
        <v>244</v>
      </c>
      <c r="O89" t="s">
        <v>245</v>
      </c>
      <c r="P89" t="s">
        <v>288</v>
      </c>
      <c r="Q89" t="s">
        <v>67</v>
      </c>
      <c r="R89" t="s">
        <v>133</v>
      </c>
      <c r="S89" s="4">
        <v>60</v>
      </c>
      <c r="T89" s="3">
        <v>2E-3</v>
      </c>
      <c r="U89" s="3">
        <v>0</v>
      </c>
      <c r="V89" s="3">
        <v>2E-3</v>
      </c>
      <c r="W89" s="3">
        <v>2E-3</v>
      </c>
      <c r="X89" t="s">
        <v>87</v>
      </c>
      <c r="Y89" t="s">
        <v>88</v>
      </c>
      <c r="Z89" t="s">
        <v>43</v>
      </c>
      <c r="AA89" t="s">
        <v>70</v>
      </c>
      <c r="AB89" t="s">
        <v>45</v>
      </c>
      <c r="AC89" t="s">
        <v>46</v>
      </c>
      <c r="AD89" s="5">
        <v>0</v>
      </c>
      <c r="AE89" s="5">
        <v>0</v>
      </c>
    </row>
    <row r="90" spans="1:31" x14ac:dyDescent="0.2">
      <c r="A90">
        <v>4600059785</v>
      </c>
      <c r="C90" s="2"/>
      <c r="D90" t="s">
        <v>31</v>
      </c>
      <c r="E90">
        <v>102440</v>
      </c>
      <c r="F90" t="s">
        <v>289</v>
      </c>
      <c r="G90" t="s">
        <v>290</v>
      </c>
      <c r="H90" s="2">
        <v>43040</v>
      </c>
      <c r="I90" s="2">
        <v>46417</v>
      </c>
      <c r="J90" s="3">
        <v>0.01</v>
      </c>
      <c r="K90" s="3">
        <v>0</v>
      </c>
      <c r="L90" s="3">
        <v>0.01</v>
      </c>
      <c r="M90" t="s">
        <v>184</v>
      </c>
      <c r="N90" t="s">
        <v>185</v>
      </c>
      <c r="O90" t="s">
        <v>186</v>
      </c>
      <c r="P90" t="s">
        <v>254</v>
      </c>
      <c r="Q90" t="s">
        <v>38</v>
      </c>
      <c r="R90" t="s">
        <v>40</v>
      </c>
      <c r="S90" s="4">
        <v>110</v>
      </c>
      <c r="T90" s="3">
        <v>1.090909090909091E-3</v>
      </c>
      <c r="U90" s="3">
        <v>0</v>
      </c>
      <c r="V90" s="3">
        <v>1.090909090909091E-3</v>
      </c>
      <c r="W90" s="3">
        <v>1.090909090909091E-3</v>
      </c>
      <c r="X90" t="s">
        <v>68</v>
      </c>
      <c r="Y90" t="s">
        <v>69</v>
      </c>
      <c r="Z90" t="s">
        <v>43</v>
      </c>
      <c r="AA90" t="s">
        <v>44</v>
      </c>
      <c r="AB90" t="s">
        <v>45</v>
      </c>
      <c r="AC90" t="s">
        <v>46</v>
      </c>
      <c r="AD90" s="5">
        <v>0</v>
      </c>
      <c r="AE90" s="5">
        <v>0</v>
      </c>
    </row>
    <row r="91" spans="1:31" x14ac:dyDescent="0.2">
      <c r="A91">
        <v>4600058723</v>
      </c>
      <c r="B91">
        <v>68202450</v>
      </c>
      <c r="C91" s="2"/>
      <c r="D91" t="s">
        <v>31</v>
      </c>
      <c r="E91">
        <v>148663</v>
      </c>
      <c r="F91" t="s">
        <v>291</v>
      </c>
      <c r="G91" t="s">
        <v>292</v>
      </c>
      <c r="H91" s="2">
        <v>42125</v>
      </c>
      <c r="I91" s="2">
        <v>46142</v>
      </c>
      <c r="J91" s="3">
        <v>0.01</v>
      </c>
      <c r="K91" s="3">
        <v>0</v>
      </c>
      <c r="L91" s="3">
        <v>0.01</v>
      </c>
      <c r="M91" t="s">
        <v>184</v>
      </c>
      <c r="N91" t="s">
        <v>185</v>
      </c>
      <c r="O91" t="s">
        <v>186</v>
      </c>
      <c r="P91" t="s">
        <v>254</v>
      </c>
      <c r="Q91" t="s">
        <v>38</v>
      </c>
      <c r="R91" t="s">
        <v>251</v>
      </c>
      <c r="S91" s="4">
        <v>131</v>
      </c>
      <c r="T91" s="3">
        <v>9.1603053435114501E-4</v>
      </c>
      <c r="U91" s="3">
        <v>0</v>
      </c>
      <c r="V91" s="3">
        <v>9.1603053435114501E-4</v>
      </c>
      <c r="W91" s="3">
        <v>9.1603053435114501E-4</v>
      </c>
      <c r="X91" t="s">
        <v>293</v>
      </c>
      <c r="Y91" t="s">
        <v>294</v>
      </c>
      <c r="Z91" t="s">
        <v>43</v>
      </c>
      <c r="AA91" t="s">
        <v>44</v>
      </c>
      <c r="AB91" t="s">
        <v>45</v>
      </c>
      <c r="AC91" t="s">
        <v>46</v>
      </c>
      <c r="AD91" s="5">
        <v>0</v>
      </c>
      <c r="AE91" s="5">
        <v>0</v>
      </c>
    </row>
    <row r="92" spans="1:31" x14ac:dyDescent="0.2">
      <c r="A92">
        <v>4600059165</v>
      </c>
      <c r="C92" s="2"/>
      <c r="D92" t="s">
        <v>31</v>
      </c>
      <c r="E92">
        <v>170647</v>
      </c>
      <c r="F92" t="s">
        <v>295</v>
      </c>
      <c r="G92" t="s">
        <v>296</v>
      </c>
      <c r="H92" s="2">
        <v>41760</v>
      </c>
      <c r="I92" s="2">
        <v>46053</v>
      </c>
      <c r="J92" s="3">
        <v>0.01</v>
      </c>
      <c r="K92" s="3">
        <v>0</v>
      </c>
      <c r="L92" s="3">
        <v>0.01</v>
      </c>
      <c r="M92" t="s">
        <v>184</v>
      </c>
      <c r="N92" t="s">
        <v>185</v>
      </c>
      <c r="O92" t="s">
        <v>186</v>
      </c>
      <c r="P92" t="s">
        <v>254</v>
      </c>
      <c r="Q92" t="s">
        <v>38</v>
      </c>
      <c r="S92" s="4">
        <v>140</v>
      </c>
      <c r="T92" s="3">
        <v>8.571428571428571E-4</v>
      </c>
      <c r="U92" s="3">
        <v>0</v>
      </c>
      <c r="V92" s="3">
        <v>8.571428571428571E-4</v>
      </c>
      <c r="W92" s="3">
        <v>8.571428571428571E-4</v>
      </c>
      <c r="X92" t="s">
        <v>297</v>
      </c>
      <c r="Y92" t="s">
        <v>298</v>
      </c>
      <c r="Z92" t="s">
        <v>43</v>
      </c>
      <c r="AA92" t="s">
        <v>44</v>
      </c>
      <c r="AB92" t="s">
        <v>45</v>
      </c>
      <c r="AC92" t="s">
        <v>46</v>
      </c>
      <c r="AD92" s="5">
        <v>0</v>
      </c>
      <c r="AE92" s="5">
        <v>0</v>
      </c>
    </row>
  </sheetData>
  <autoFilter ref="A1:AE92" xr:uid="{00000000-0001-0000-0000-000000000000}"/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Detail1</vt:lpstr>
      <vt:lpstr>pivot_visao_geral</vt:lpstr>
      <vt:lpstr> 04022026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Alessandro Barbosa</cp:lastModifiedBy>
  <dcterms:modified xsi:type="dcterms:W3CDTF">2026-02-09T14:50:03Z</dcterms:modified>
</cp:coreProperties>
</file>